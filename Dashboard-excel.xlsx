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onta\OneDrive\Documentos\Databases\Entrega final\"/>
    </mc:Choice>
  </mc:AlternateContent>
  <xr:revisionPtr revIDLastSave="0" documentId="13_ncr:1_{B984503F-8A36-45D4-A976-46DF7DAB0888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3" l="1"/>
  <c r="D16" i="3"/>
</calcChain>
</file>

<file path=xl/sharedStrings.xml><?xml version="1.0" encoding="utf-8"?>
<sst xmlns="http://schemas.openxmlformats.org/spreadsheetml/2006/main" count="2018" uniqueCount="321">
  <si>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</si>
  <si>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</si>
  <si>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</si>
  <si>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</si>
  <si>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</si>
  <si>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</si>
  <si>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</si>
  <si>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</si>
  <si>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</si>
  <si>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</si>
  <si>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</si>
  <si>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</si>
  <si>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</si>
  <si>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</si>
  <si>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</si>
  <si>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</si>
  <si>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</si>
  <si>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</si>
  <si>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</si>
  <si>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</si>
  <si>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</si>
  <si>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</si>
  <si>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</si>
  <si>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</si>
  <si>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</si>
  <si>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</si>
  <si>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</si>
  <si>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</si>
  <si>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</si>
  <si>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</si>
  <si>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</si>
  <si>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</si>
  <si>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</si>
  <si>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</si>
  <si>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</si>
  <si>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</si>
  <si>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</si>
  <si>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</si>
  <si>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</si>
  <si>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</si>
  <si>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</si>
  <si>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</si>
  <si>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</si>
  <si>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</si>
  <si>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</si>
  <si>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</si>
  <si>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</si>
  <si>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</si>
  <si>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</si>
  <si>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</si>
  <si>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</si>
  <si>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</si>
  <si>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</si>
  <si>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</si>
  <si>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</si>
  <si>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</si>
  <si>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</si>
  <si>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</si>
  <si>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</si>
  <si>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</si>
  <si>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</si>
  <si>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</si>
  <si>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</si>
  <si>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</si>
  <si>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</si>
  <si>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</si>
  <si>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</si>
  <si>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</si>
  <si>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</si>
  <si>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</si>
  <si>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</si>
  <si>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</si>
  <si>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</si>
  <si>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</si>
  <si>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</si>
  <si>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</si>
  <si>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</si>
  <si>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</si>
  <si>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</si>
  <si>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</si>
  <si>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</si>
  <si>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</si>
  <si>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</si>
  <si>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</si>
  <si>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</si>
  <si>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</si>
  <si>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</si>
  <si>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</si>
  <si>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</si>
  <si>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</si>
  <si>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</si>
  <si>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</si>
  <si>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</si>
  <si>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</si>
  <si>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</si>
  <si>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</si>
  <si>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</si>
  <si>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</si>
  <si>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</si>
  <si>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</si>
  <si>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</si>
  <si>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</si>
  <si>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</si>
  <si>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</si>
  <si>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</si>
  <si>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</si>
  <si>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</si>
  <si>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</si>
  <si>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</si>
  <si>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</si>
  <si>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</si>
  <si>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</si>
  <si>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</si>
  <si>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</si>
  <si>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</si>
  <si>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</si>
  <si>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</si>
  <si>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</si>
  <si>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</si>
  <si>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</si>
  <si>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</si>
  <si>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</si>
  <si>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</si>
  <si>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</si>
  <si>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</si>
  <si>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</si>
  <si>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</si>
  <si>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</si>
  <si>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</si>
  <si>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</si>
  <si>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</si>
  <si>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</si>
  <si>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</si>
  <si>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</si>
  <si>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</si>
  <si>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</si>
  <si>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</si>
  <si>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</si>
  <si>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</si>
  <si>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</si>
  <si>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</si>
  <si>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</si>
  <si>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</si>
  <si>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</si>
  <si>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</si>
  <si>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</si>
  <si>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</si>
  <si>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</si>
  <si>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</si>
  <si>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</si>
  <si>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</si>
  <si>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</si>
  <si>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</si>
  <si>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</si>
  <si>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</si>
  <si>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</si>
  <si>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</si>
  <si>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</si>
  <si>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</si>
  <si>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</si>
  <si>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</si>
  <si>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</si>
  <si>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</si>
  <si>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</si>
  <si>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</si>
  <si>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</si>
  <si>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</si>
  <si>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</si>
  <si>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</si>
  <si>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</si>
  <si>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</si>
  <si>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</si>
  <si>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</si>
  <si>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</si>
  <si>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</si>
  <si>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</si>
  <si>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</si>
  <si>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</si>
  <si>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</si>
  <si>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</si>
  <si>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</si>
  <si>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</si>
  <si>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</si>
  <si>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</si>
  <si>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</si>
  <si>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</si>
  <si>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</si>
  <si>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</si>
  <si>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</si>
  <si>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</si>
  <si>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</si>
  <si>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</si>
  <si>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</si>
  <si>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</si>
  <si>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</si>
  <si>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</si>
  <si>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</si>
  <si>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</si>
  <si>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</si>
  <si>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</si>
  <si>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</si>
  <si>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</si>
  <si>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</si>
  <si>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</si>
  <si>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</si>
  <si>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</si>
  <si>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</si>
  <si>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</si>
  <si>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</si>
  <si>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</si>
  <si>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</si>
  <si>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</si>
  <si>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</si>
  <si>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</si>
  <si>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</si>
  <si>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</si>
  <si>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</si>
  <si>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</si>
  <si>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</si>
  <si>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</si>
  <si>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</si>
  <si>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</si>
  <si>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</si>
  <si>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</si>
  <si>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</si>
  <si>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</si>
  <si>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</si>
  <si>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</si>
  <si>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</si>
  <si>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</si>
  <si>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</si>
  <si>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</si>
  <si>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</si>
  <si>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</si>
  <si>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</si>
  <si>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</si>
  <si>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</si>
  <si>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</si>
  <si>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</si>
  <si>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</si>
  <si>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</si>
  <si>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</si>
  <si>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</si>
  <si>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</si>
  <si>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</si>
  <si>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</si>
  <si>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</si>
  <si>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</si>
  <si>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</si>
  <si>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</si>
  <si>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</si>
  <si>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</si>
  <si>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</si>
  <si>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</si>
  <si>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</si>
  <si>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</si>
  <si>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</si>
  <si>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</si>
  <si>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</si>
  <si>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</si>
  <si>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</si>
  <si>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</si>
  <si>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</si>
  <si>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</si>
  <si>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</si>
  <si>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</si>
  <si>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</si>
  <si>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</si>
  <si>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</si>
  <si>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</si>
  <si>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</si>
  <si>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</si>
  <si>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</si>
  <si>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</si>
  <si>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</si>
  <si>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</si>
  <si>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</si>
  <si>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</si>
  <si>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</si>
  <si>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</si>
  <si>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</si>
  <si>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</si>
  <si>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</si>
  <si>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</si>
  <si>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</si>
  <si>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</si>
  <si>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</si>
  <si>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</si>
  <si>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</si>
  <si>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</si>
  <si>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</si>
  <si>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</si>
  <si>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</si>
  <si>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</si>
  <si>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</si>
  <si>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</si>
  <si>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</si>
  <si>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</si>
  <si>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</si>
  <si>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</si>
  <si>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</si>
  <si>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</si>
  <si>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</si>
  <si>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</si>
  <si>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</si>
  <si>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</si>
  <si>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</si>
  <si>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</si>
  <si>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</si>
  <si>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</si>
  <si>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</si>
  <si>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</si>
  <si>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</si>
  <si>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</si>
  <si>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</si>
  <si>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</si>
  <si>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</si>
  <si>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</si>
  <si>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(Vários itens)</t>
  </si>
  <si>
    <t>Soma de Minecraft Season Pass Price</t>
  </si>
  <si>
    <t>Calculation period: 01/01/2024 – 12/31/2024 | Last updated on: 12/25/2024 at 09:00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</si>
</sst>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6" formatCode="_-[$$-409]* #,##0.00_ ;_-[$$-409]* \-#,##0.00\ ;_-[$$-409]* &quot;-&quot;??_ ;_-@_ "/>
    <numFmt numFmtId="167" formatCode="_-[$R$-416]\ * #,##0.00_-;\-[$R$-416]\ * #,##0.00_-;_-[$R$-416]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rgb="FF2AE6B1"/>
      <name val="Segoe UI"/>
      <family val="2"/>
    </font>
    <font>
      <sz val="11"/>
      <color theme="0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0" borderId="2" xfId="1" applyFont="1" applyBorder="1"/>
    <xf numFmtId="0" fontId="0" fillId="0" borderId="0" xfId="0" applyNumberFormat="1"/>
    <xf numFmtId="166" fontId="0" fillId="0" borderId="0" xfId="0" applyNumberFormat="1"/>
    <xf numFmtId="0" fontId="0" fillId="0" borderId="2" xfId="0" applyBorder="1"/>
    <xf numFmtId="167" fontId="3" fillId="0" borderId="0" xfId="0" applyNumberFormat="1" applyFont="1" applyAlignment="1">
      <alignment horizontal="center" vertical="center" wrapText="1"/>
    </xf>
    <xf numFmtId="167" fontId="0" fillId="0" borderId="0" xfId="2" applyNumberFormat="1" applyFont="1" applyAlignment="1">
      <alignment horizontal="center" vertical="center" wrapText="1"/>
    </xf>
    <xf numFmtId="167" fontId="0" fillId="0" borderId="0" xfId="0" applyNumberFormat="1"/>
    <xf numFmtId="0" fontId="4" fillId="0" borderId="2" xfId="1" applyFont="1" applyBorder="1" applyAlignment="1">
      <alignment horizontal="left" indent="9"/>
    </xf>
    <xf numFmtId="0" fontId="6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58"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7" formatCode="_-[$R$-416]\ * #,##0.00_-;\-[$R$-416]\ * #,##0.00_-;_-[$R$-416]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DEFA0974-F248-490B-9226-BB07E72A3A19}">
      <tableStyleElement type="wholeTable" dxfId="46"/>
      <tableStyleElement type="headerRow" dxfId="45"/>
    </tableStyle>
  </tableStyles>
  <colors>
    <mruColors>
      <color rgb="FF2AE6B1"/>
      <color rgb="FF5BF6A8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[Dashboard-excel.xlsx]C̳álculos!tbl_annual_total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C̳álculos!$C$5:$C$7</c:f>
              <c:numCache>
                <c:formatCode>_-[$$-409]* #,##0.00_ ;_-[$$-409]* \-#,##0.00\ ;_-[$$-409]* "-"??_ ;_-@_ </c:formatCode>
                <c:ptCount val="2"/>
                <c:pt idx="0">
                  <c:v>3630</c:v>
                </c:pt>
                <c:pt idx="1">
                  <c:v>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4-4C58-AF3A-323C4B1DA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0970384"/>
        <c:axId val="780971824"/>
      </c:barChart>
      <c:catAx>
        <c:axId val="780970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0971824"/>
        <c:crosses val="autoZero"/>
        <c:auto val="1"/>
        <c:lblAlgn val="ctr"/>
        <c:lblOffset val="100"/>
        <c:noMultiLvlLbl val="0"/>
      </c:catAx>
      <c:valAx>
        <c:axId val="780971824"/>
        <c:scaling>
          <c:orientation val="minMax"/>
        </c:scaling>
        <c:delete val="1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crossAx val="78097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83820</xdr:colOff>
      <xdr:row>12</xdr:row>
      <xdr:rowOff>160020</xdr:rowOff>
    </xdr:from>
    <xdr:to>
      <xdr:col>10</xdr:col>
      <xdr:colOff>167640</xdr:colOff>
      <xdr:row>16</xdr:row>
      <xdr:rowOff>83820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6840" y="2590800"/>
          <a:ext cx="693420" cy="69342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4</xdr:col>
      <xdr:colOff>188595</xdr:colOff>
      <xdr:row>23</xdr:row>
      <xdr:rowOff>74294</xdr:rowOff>
    </xdr:from>
    <xdr:to>
      <xdr:col>6</xdr:col>
      <xdr:colOff>513156</xdr:colOff>
      <xdr:row>27</xdr:row>
      <xdr:rowOff>72390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626995" y="4608194"/>
          <a:ext cx="1547571" cy="7600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104775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104775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154305</xdr:colOff>
      <xdr:row>0</xdr:row>
      <xdr:rowOff>114300</xdr:rowOff>
    </xdr:from>
    <xdr:to>
      <xdr:col>2</xdr:col>
      <xdr:colOff>589540</xdr:colOff>
      <xdr:row>2</xdr:row>
      <xdr:rowOff>270510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2218A59-4052-4D0F-8BA0-C472036C12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07" t="16703" r="72620" b="19638"/>
        <a:stretch>
          <a:fillRect/>
        </a:stretch>
      </xdr:blipFill>
      <xdr:spPr>
        <a:xfrm>
          <a:off x="2000250" y="114300"/>
          <a:ext cx="768610" cy="842010"/>
        </a:xfrm>
        <a:prstGeom prst="rect">
          <a:avLst/>
        </a:prstGeom>
      </xdr:spPr>
    </xdr:pic>
    <xdr:clientData/>
  </xdr:twoCellAnchor>
  <xdr:twoCellAnchor>
    <xdr:from>
      <xdr:col>1</xdr:col>
      <xdr:colOff>149165</xdr:colOff>
      <xdr:row>17</xdr:row>
      <xdr:rowOff>20947</xdr:rowOff>
    </xdr:from>
    <xdr:to>
      <xdr:col>20</xdr:col>
      <xdr:colOff>72390</xdr:colOff>
      <xdr:row>35</xdr:row>
      <xdr:rowOff>135919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D94F3E82-9D99-FFE2-0F76-B1403261E9EB}"/>
            </a:ext>
          </a:extLst>
        </xdr:cNvPr>
        <xdr:cNvGrpSpPr/>
      </xdr:nvGrpSpPr>
      <xdr:grpSpPr>
        <a:xfrm>
          <a:off x="1997015" y="3849997"/>
          <a:ext cx="11277025" cy="3543972"/>
          <a:chOff x="1993205" y="3672832"/>
          <a:chExt cx="11177965" cy="3524922"/>
        </a:xfrm>
      </xdr:grpSpPr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C2E15369-AFC2-0461-0441-7BA635BB17F9}"/>
              </a:ext>
            </a:extLst>
          </xdr:cNvPr>
          <xdr:cNvGrpSpPr/>
        </xdr:nvGrpSpPr>
        <xdr:grpSpPr>
          <a:xfrm>
            <a:off x="1995110" y="3670927"/>
            <a:ext cx="11177965" cy="3528732"/>
            <a:chOff x="1995114" y="4099560"/>
            <a:chExt cx="11202726" cy="350023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70D191BC-1306-889A-801B-22A93BEEB052}"/>
                </a:ext>
              </a:extLst>
            </xdr:cNvPr>
            <xdr:cNvSpPr/>
          </xdr:nvSpPr>
          <xdr:spPr>
            <a:xfrm>
              <a:off x="1995114" y="4213861"/>
              <a:ext cx="11193201" cy="3385934"/>
            </a:xfrm>
            <a:prstGeom prst="roundRect">
              <a:avLst>
                <a:gd name="adj" fmla="val 530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8" name="Retângulo: Cantos Superiores Arredondados 27">
              <a:extLst>
                <a:ext uri="{FF2B5EF4-FFF2-40B4-BE49-F238E27FC236}">
                  <a16:creationId xmlns:a16="http://schemas.microsoft.com/office/drawing/2014/main" id="{0D93E623-AB8C-48BC-A500-EC62CECDB493}"/>
                </a:ext>
              </a:extLst>
            </xdr:cNvPr>
            <xdr:cNvSpPr/>
          </xdr:nvSpPr>
          <xdr:spPr>
            <a:xfrm>
              <a:off x="1996440" y="4099560"/>
              <a:ext cx="11201400" cy="407263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XBOX GAME PASS</a:t>
              </a:r>
            </a:p>
          </xdr:txBody>
        </xdr:sp>
      </xdr:grp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7F80BE63-98BE-46F9-ACD5-7299F9A48A68}"/>
              </a:ext>
            </a:extLst>
          </xdr:cNvPr>
          <xdr:cNvGraphicFramePr>
            <a:graphicFrameLocks/>
          </xdr:cNvGraphicFramePr>
        </xdr:nvGraphicFramePr>
        <xdr:xfrm>
          <a:off x="2228476" y="4183691"/>
          <a:ext cx="10693910" cy="297703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0</xdr:colOff>
      <xdr:row>6</xdr:row>
      <xdr:rowOff>184783</xdr:rowOff>
    </xdr:from>
    <xdr:to>
      <xdr:col>1</xdr:col>
      <xdr:colOff>0</xdr:colOff>
      <xdr:row>20</xdr:row>
      <xdr:rowOff>110490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F2CF812E-D7D6-4BAD-A10C-F58A626E4F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89733"/>
              <a:ext cx="1847850" cy="28213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111069</xdr:colOff>
      <xdr:row>6</xdr:row>
      <xdr:rowOff>104291</xdr:rowOff>
    </xdr:from>
    <xdr:to>
      <xdr:col>10</xdr:col>
      <xdr:colOff>549694</xdr:colOff>
      <xdr:row>15</xdr:row>
      <xdr:rowOff>180747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303E3398-209B-62EF-DB6C-33B1D823E93E}"/>
            </a:ext>
          </a:extLst>
        </xdr:cNvPr>
        <xdr:cNvGrpSpPr/>
      </xdr:nvGrpSpPr>
      <xdr:grpSpPr>
        <a:xfrm>
          <a:off x="1958919" y="1609241"/>
          <a:ext cx="5648800" cy="2019556"/>
          <a:chOff x="1958505" y="1429591"/>
          <a:chExt cx="5649214" cy="2052189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0CADCDA9-97AE-D4E2-1F9B-6DAB20F7E924}"/>
              </a:ext>
            </a:extLst>
          </xdr:cNvPr>
          <xdr:cNvGrpSpPr/>
        </xdr:nvGrpSpPr>
        <xdr:grpSpPr>
          <a:xfrm>
            <a:off x="1958505" y="1431496"/>
            <a:ext cx="5425926" cy="2054094"/>
            <a:chOff x="1958505" y="1333358"/>
            <a:chExt cx="5425926" cy="2052189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71550C4B-5AD8-C982-1916-1F932264F807}"/>
                </a:ext>
              </a:extLst>
            </xdr:cNvPr>
            <xdr:cNvSpPr/>
          </xdr:nvSpPr>
          <xdr:spPr>
            <a:xfrm>
              <a:off x="1958505" y="1333358"/>
              <a:ext cx="5420139" cy="2052189"/>
            </a:xfrm>
            <a:prstGeom prst="roundRect">
              <a:avLst>
                <a:gd name="adj" fmla="val 772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/>
                <a:t>=</a:t>
              </a:r>
            </a:p>
          </xdr:txBody>
        </xdr:sp>
        <xdr:sp macro="" textlink="">
          <xdr:nvSpPr>
            <xdr:cNvPr id="13" name="Retângulo: Cantos Superiores Arredondados 12">
              <a:extLst>
                <a:ext uri="{FF2B5EF4-FFF2-40B4-BE49-F238E27FC236}">
                  <a16:creationId xmlns:a16="http://schemas.microsoft.com/office/drawing/2014/main" id="{4CDDCD1D-67A5-A2B8-0252-DCFBECBCDD6A}"/>
                </a:ext>
              </a:extLst>
            </xdr:cNvPr>
            <xdr:cNvSpPr/>
          </xdr:nvSpPr>
          <xdr:spPr>
            <a:xfrm>
              <a:off x="1959818" y="1333785"/>
              <a:ext cx="5424613" cy="405008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EA PLAY SEASON PASS</a:t>
              </a:r>
            </a:p>
          </xdr:txBody>
        </xdr:sp>
      </xdr:grpSp>
      <xdr:sp macro="" textlink="C̳álculos!D16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7A3FC73F-B052-4AC5-8EF2-23FFD601449C}"/>
              </a:ext>
            </a:extLst>
          </xdr:cNvPr>
          <xdr:cNvSpPr/>
        </xdr:nvSpPr>
        <xdr:spPr>
          <a:xfrm>
            <a:off x="3349011" y="1632174"/>
            <a:ext cx="4258708" cy="1792794"/>
          </a:xfrm>
          <a:prstGeom prst="roundRect">
            <a:avLst>
              <a:gd name="adj" fmla="val 10138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EA6E954-CE33-40BE-892D-DAEAD9252915}" type="TxLink">
              <a:rPr lang="en-US" sz="3600" b="0" i="0" u="none" strike="noStrike">
                <a:solidFill>
                  <a:srgbClr val="5BF6A8"/>
                </a:solidFill>
                <a:latin typeface="Aptos Narrow"/>
              </a:rPr>
              <a:pPr algn="ctr"/>
              <a:t> $2.340,00 </a:t>
            </a:fld>
            <a:endParaRPr lang="pt-BR" sz="3600">
              <a:solidFill>
                <a:srgbClr val="5BF6A8"/>
              </a:solidFill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D7E446F6-8149-4862-9DE0-2A454D1C2A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62236" y="1919344"/>
            <a:ext cx="1219200" cy="1224169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111980</xdr:colOff>
      <xdr:row>6</xdr:row>
      <xdr:rowOff>58571</xdr:rowOff>
    </xdr:from>
    <xdr:to>
      <xdr:col>20</xdr:col>
      <xdr:colOff>423216</xdr:colOff>
      <xdr:row>15</xdr:row>
      <xdr:rowOff>135027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C706D3B9-B0C4-8D60-F30F-B8719675B084}"/>
            </a:ext>
          </a:extLst>
        </xdr:cNvPr>
        <xdr:cNvGrpSpPr/>
      </xdr:nvGrpSpPr>
      <xdr:grpSpPr>
        <a:xfrm>
          <a:off x="7779605" y="1563521"/>
          <a:ext cx="5845261" cy="2019556"/>
          <a:chOff x="7684355" y="1365401"/>
          <a:chExt cx="5845261" cy="2038606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51DB7495-91E7-C357-17E3-7CB86C9BA4EA}"/>
              </a:ext>
            </a:extLst>
          </xdr:cNvPr>
          <xdr:cNvGrpSpPr/>
        </xdr:nvGrpSpPr>
        <xdr:grpSpPr>
          <a:xfrm>
            <a:off x="7684355" y="1365401"/>
            <a:ext cx="5425542" cy="2038606"/>
            <a:chOff x="1958505" y="1333358"/>
            <a:chExt cx="5425926" cy="2052189"/>
          </a:xfrm>
        </xdr:grpSpPr>
        <xdr:sp macro="" textlink="">
          <xdr:nvSpPr>
            <xdr:cNvPr id="23" name="Retângulo: Cantos Arredondados 22">
              <a:extLst>
                <a:ext uri="{FF2B5EF4-FFF2-40B4-BE49-F238E27FC236}">
                  <a16:creationId xmlns:a16="http://schemas.microsoft.com/office/drawing/2014/main" id="{27D4127B-503E-0531-86B7-B4D397D4AFE7}"/>
                </a:ext>
              </a:extLst>
            </xdr:cNvPr>
            <xdr:cNvSpPr/>
          </xdr:nvSpPr>
          <xdr:spPr>
            <a:xfrm>
              <a:off x="1958505" y="1333358"/>
              <a:ext cx="5420139" cy="2052189"/>
            </a:xfrm>
            <a:prstGeom prst="roundRect">
              <a:avLst>
                <a:gd name="adj" fmla="val 772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/>
                <a:t>=</a:t>
              </a: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011AD027-F98A-E9AC-2CA0-92C55F91EB1B}"/>
                </a:ext>
              </a:extLst>
            </xdr:cNvPr>
            <xdr:cNvSpPr/>
          </xdr:nvSpPr>
          <xdr:spPr>
            <a:xfrm>
              <a:off x="1959818" y="1333785"/>
              <a:ext cx="5424613" cy="405008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SEASON PASS PRICE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D27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B54905CF-6C0E-FEE8-D24D-82A3717738C5}"/>
              </a:ext>
            </a:extLst>
          </xdr:cNvPr>
          <xdr:cNvSpPr/>
        </xdr:nvSpPr>
        <xdr:spPr>
          <a:xfrm>
            <a:off x="9263259" y="1567810"/>
            <a:ext cx="4266357" cy="1760429"/>
          </a:xfrm>
          <a:prstGeom prst="roundRect">
            <a:avLst>
              <a:gd name="adj" fmla="val 10138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77C4766-E785-46B5-8DAC-43448F042C3D}" type="TxLink">
              <a:rPr lang="en-US" sz="3600" b="0" i="0" u="none" strike="noStrike">
                <a:solidFill>
                  <a:srgbClr val="5BF6A8"/>
                </a:solidFill>
                <a:latin typeface="+mn-lt"/>
              </a:rPr>
              <a:t> $2.940,00 </a:t>
            </a:fld>
            <a:endParaRPr lang="pt-BR" sz="3600">
              <a:solidFill>
                <a:srgbClr val="5BF6A8"/>
              </a:solidFill>
              <a:latin typeface="+mn-lt"/>
            </a:endParaRPr>
          </a:p>
        </xdr:txBody>
      </xdr: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3C8FB474-16E3-44BB-AFFA-830D6CFE17F6}"/>
              </a:ext>
            </a:extLst>
          </xdr:cNvPr>
          <xdr:cNvGrpSpPr/>
        </xdr:nvGrpSpPr>
        <xdr:grpSpPr>
          <a:xfrm>
            <a:off x="8121592" y="2060811"/>
            <a:ext cx="1560906" cy="764403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243DB386-86A3-869B-1570-8FB33C28706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3EFEB1B8-D34B-D322-A523-0216B811E2F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481964</xdr:colOff>
      <xdr:row>0</xdr:row>
      <xdr:rowOff>139065</xdr:rowOff>
    </xdr:from>
    <xdr:to>
      <xdr:col>0</xdr:col>
      <xdr:colOff>1434464</xdr:colOff>
      <xdr:row>2</xdr:row>
      <xdr:rowOff>481965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6351CFEB-7807-4A45-AACB-0FD40515AD14}"/>
            </a:ext>
          </a:extLst>
        </xdr:cNvPr>
        <xdr:cNvSpPr/>
      </xdr:nvSpPr>
      <xdr:spPr>
        <a:xfrm>
          <a:off x="481964" y="139065"/>
          <a:ext cx="952500" cy="10287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72390</xdr:colOff>
      <xdr:row>4</xdr:row>
      <xdr:rowOff>0</xdr:rowOff>
    </xdr:from>
    <xdr:to>
      <xdr:col>0</xdr:col>
      <xdr:colOff>1794510</xdr:colOff>
      <xdr:row>6</xdr:row>
      <xdr:rowOff>41910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9A97A9EF-24CC-2345-A31B-0F2009679F36}"/>
            </a:ext>
          </a:extLst>
        </xdr:cNvPr>
        <xdr:cNvSpPr/>
      </xdr:nvSpPr>
      <xdr:spPr>
        <a:xfrm>
          <a:off x="72390" y="1283970"/>
          <a:ext cx="1722120" cy="2590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Bem</a:t>
          </a:r>
          <a:r>
            <a:rPr lang="pt-BR" sz="1100" b="1" baseline="0"/>
            <a:t> vinda, Liana!</a:t>
          </a:r>
          <a:endParaRPr lang="pt-BR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k Calixto" refreshedDate="46068.72488587963" createdVersion="8" refreshedVersion="8" minRefreshableVersion="3" recordCount="295" xr:uid="{7E0012E0-9BCD-4621-8A11-0CD782991B5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152000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x v="0"/>
  </r>
  <r>
    <n v="3232"/>
    <x v="1"/>
    <x v="1"/>
    <d v="2024-01-15T00:00:00"/>
    <x v="1"/>
    <n v="5"/>
    <x v="1"/>
    <s v="No"/>
    <x v="1"/>
    <s v="No"/>
    <n v="0"/>
    <n v="0"/>
    <x v="1"/>
  </r>
  <r>
    <n v="3233"/>
    <x v="2"/>
    <x v="2"/>
    <d v="2024-02-10T00:00:00"/>
    <x v="0"/>
    <n v="10"/>
    <x v="2"/>
    <s v="No"/>
    <x v="1"/>
    <s v="Yes"/>
    <n v="20"/>
    <n v="10"/>
    <x v="2"/>
  </r>
  <r>
    <n v="3234"/>
    <x v="3"/>
    <x v="0"/>
    <d v="2024-02-20T00:00:00"/>
    <x v="1"/>
    <n v="15"/>
    <x v="0"/>
    <s v="Yes"/>
    <x v="0"/>
    <s v="Yes"/>
    <n v="20"/>
    <n v="3"/>
    <x v="3"/>
  </r>
  <r>
    <n v="3235"/>
    <x v="4"/>
    <x v="1"/>
    <d v="2024-03-05T00:00:00"/>
    <x v="0"/>
    <n v="5"/>
    <x v="0"/>
    <s v="No"/>
    <x v="1"/>
    <s v="No"/>
    <n v="0"/>
    <n v="1"/>
    <x v="4"/>
  </r>
  <r>
    <n v="3236"/>
    <x v="5"/>
    <x v="2"/>
    <d v="2024-03-02T00:00:00"/>
    <x v="1"/>
    <n v="10"/>
    <x v="0"/>
    <s v="No"/>
    <x v="1"/>
    <s v="Yes"/>
    <n v="20"/>
    <n v="2"/>
    <x v="5"/>
  </r>
  <r>
    <n v="3237"/>
    <x v="6"/>
    <x v="0"/>
    <d v="2024-03-03T00:00:00"/>
    <x v="0"/>
    <n v="15"/>
    <x v="2"/>
    <s v="Yes"/>
    <x v="0"/>
    <s v="Yes"/>
    <n v="20"/>
    <n v="10"/>
    <x v="6"/>
  </r>
  <r>
    <n v="3238"/>
    <x v="7"/>
    <x v="1"/>
    <d v="2024-03-04T00:00:00"/>
    <x v="0"/>
    <n v="5"/>
    <x v="1"/>
    <s v="No"/>
    <x v="1"/>
    <s v="No"/>
    <n v="0"/>
    <n v="0"/>
    <x v="1"/>
  </r>
  <r>
    <n v="3239"/>
    <x v="8"/>
    <x v="0"/>
    <d v="2024-03-05T00:00:00"/>
    <x v="1"/>
    <n v="15"/>
    <x v="0"/>
    <s v="Yes"/>
    <x v="0"/>
    <s v="Yes"/>
    <n v="20"/>
    <n v="5"/>
    <x v="0"/>
  </r>
  <r>
    <n v="3240"/>
    <x v="9"/>
    <x v="2"/>
    <d v="2024-03-06T00:00:00"/>
    <x v="0"/>
    <n v="10"/>
    <x v="2"/>
    <s v="No"/>
    <x v="1"/>
    <s v="Yes"/>
    <n v="20"/>
    <n v="15"/>
    <x v="7"/>
  </r>
  <r>
    <n v="3241"/>
    <x v="10"/>
    <x v="1"/>
    <d v="2024-03-07T00:00:00"/>
    <x v="1"/>
    <n v="5"/>
    <x v="0"/>
    <s v="No"/>
    <x v="1"/>
    <s v="No"/>
    <n v="0"/>
    <n v="1"/>
    <x v="4"/>
  </r>
  <r>
    <n v="3242"/>
    <x v="11"/>
    <x v="0"/>
    <d v="2024-03-08T00:00:00"/>
    <x v="0"/>
    <n v="15"/>
    <x v="1"/>
    <s v="Yes"/>
    <x v="0"/>
    <s v="Yes"/>
    <n v="20"/>
    <n v="20"/>
    <x v="8"/>
  </r>
  <r>
    <n v="3243"/>
    <x v="12"/>
    <x v="2"/>
    <d v="2024-03-09T00:00:00"/>
    <x v="1"/>
    <n v="10"/>
    <x v="0"/>
    <s v="No"/>
    <x v="1"/>
    <s v="Yes"/>
    <n v="20"/>
    <n v="10"/>
    <x v="2"/>
  </r>
  <r>
    <n v="3244"/>
    <x v="13"/>
    <x v="1"/>
    <d v="2024-03-10T00:00:00"/>
    <x v="0"/>
    <n v="5"/>
    <x v="2"/>
    <s v="No"/>
    <x v="1"/>
    <s v="No"/>
    <n v="0"/>
    <n v="0"/>
    <x v="1"/>
  </r>
  <r>
    <n v="3245"/>
    <x v="14"/>
    <x v="0"/>
    <d v="2024-03-11T00:00:00"/>
    <x v="1"/>
    <n v="15"/>
    <x v="0"/>
    <s v="Yes"/>
    <x v="0"/>
    <s v="Yes"/>
    <n v="20"/>
    <n v="8"/>
    <x v="9"/>
  </r>
  <r>
    <n v="3246"/>
    <x v="15"/>
    <x v="2"/>
    <d v="2024-03-12T00:00:00"/>
    <x v="0"/>
    <n v="10"/>
    <x v="1"/>
    <s v="No"/>
    <x v="1"/>
    <s v="Yes"/>
    <n v="20"/>
    <n v="12"/>
    <x v="10"/>
  </r>
  <r>
    <n v="3247"/>
    <x v="16"/>
    <x v="1"/>
    <d v="2024-03-13T00:00:00"/>
    <x v="1"/>
    <n v="5"/>
    <x v="0"/>
    <s v="No"/>
    <x v="1"/>
    <s v="No"/>
    <n v="0"/>
    <n v="2"/>
    <x v="11"/>
  </r>
  <r>
    <n v="3248"/>
    <x v="17"/>
    <x v="0"/>
    <d v="2024-03-14T00:00:00"/>
    <x v="0"/>
    <n v="15"/>
    <x v="2"/>
    <s v="Yes"/>
    <x v="0"/>
    <s v="Yes"/>
    <n v="20"/>
    <n v="7"/>
    <x v="12"/>
  </r>
  <r>
    <n v="3249"/>
    <x v="18"/>
    <x v="2"/>
    <d v="2024-03-15T00:00:00"/>
    <x v="1"/>
    <n v="10"/>
    <x v="0"/>
    <s v="No"/>
    <x v="1"/>
    <s v="Yes"/>
    <n v="20"/>
    <n v="5"/>
    <x v="13"/>
  </r>
  <r>
    <n v="3250"/>
    <x v="19"/>
    <x v="1"/>
    <d v="2024-03-16T00:00:00"/>
    <x v="0"/>
    <n v="5"/>
    <x v="1"/>
    <s v="No"/>
    <x v="1"/>
    <s v="No"/>
    <n v="0"/>
    <n v="0"/>
    <x v="1"/>
  </r>
  <r>
    <n v="3251"/>
    <x v="20"/>
    <x v="0"/>
    <d v="2024-03-17T00:00:00"/>
    <x v="1"/>
    <n v="15"/>
    <x v="0"/>
    <s v="Yes"/>
    <x v="0"/>
    <s v="Yes"/>
    <n v="20"/>
    <n v="3"/>
    <x v="3"/>
  </r>
  <r>
    <n v="3252"/>
    <x v="21"/>
    <x v="2"/>
    <d v="2024-03-18T00:00:00"/>
    <x v="0"/>
    <n v="10"/>
    <x v="2"/>
    <s v="No"/>
    <x v="1"/>
    <s v="Yes"/>
    <n v="20"/>
    <n v="15"/>
    <x v="7"/>
  </r>
  <r>
    <n v="3253"/>
    <x v="22"/>
    <x v="1"/>
    <d v="2024-03-19T00:00:00"/>
    <x v="1"/>
    <n v="5"/>
    <x v="0"/>
    <s v="No"/>
    <x v="1"/>
    <s v="No"/>
    <n v="0"/>
    <n v="1"/>
    <x v="4"/>
  </r>
  <r>
    <n v="3254"/>
    <x v="23"/>
    <x v="0"/>
    <d v="2024-03-20T00:00:00"/>
    <x v="0"/>
    <n v="15"/>
    <x v="1"/>
    <s v="Yes"/>
    <x v="0"/>
    <s v="Yes"/>
    <n v="20"/>
    <n v="20"/>
    <x v="8"/>
  </r>
  <r>
    <n v="3255"/>
    <x v="24"/>
    <x v="2"/>
    <d v="2024-03-21T00:00:00"/>
    <x v="1"/>
    <n v="10"/>
    <x v="0"/>
    <s v="No"/>
    <x v="1"/>
    <s v="Yes"/>
    <n v="20"/>
    <n v="10"/>
    <x v="2"/>
  </r>
  <r>
    <n v="3256"/>
    <x v="25"/>
    <x v="1"/>
    <d v="2024-03-22T00:00:00"/>
    <x v="0"/>
    <n v="5"/>
    <x v="2"/>
    <s v="No"/>
    <x v="1"/>
    <s v="No"/>
    <n v="0"/>
    <n v="0"/>
    <x v="1"/>
  </r>
  <r>
    <n v="3257"/>
    <x v="26"/>
    <x v="0"/>
    <d v="2024-03-23T00:00:00"/>
    <x v="1"/>
    <n v="15"/>
    <x v="0"/>
    <s v="Yes"/>
    <x v="0"/>
    <s v="Yes"/>
    <n v="20"/>
    <n v="5"/>
    <x v="0"/>
  </r>
  <r>
    <n v="3258"/>
    <x v="27"/>
    <x v="2"/>
    <d v="2024-03-24T00:00:00"/>
    <x v="0"/>
    <n v="10"/>
    <x v="1"/>
    <s v="No"/>
    <x v="1"/>
    <s v="Yes"/>
    <n v="20"/>
    <n v="15"/>
    <x v="7"/>
  </r>
  <r>
    <n v="3259"/>
    <x v="28"/>
    <x v="1"/>
    <d v="2024-03-25T00:00:00"/>
    <x v="1"/>
    <n v="5"/>
    <x v="0"/>
    <s v="No"/>
    <x v="1"/>
    <s v="No"/>
    <n v="0"/>
    <n v="1"/>
    <x v="4"/>
  </r>
  <r>
    <n v="3260"/>
    <x v="29"/>
    <x v="0"/>
    <d v="2024-03-26T00:00:00"/>
    <x v="0"/>
    <n v="15"/>
    <x v="2"/>
    <s v="Yes"/>
    <x v="0"/>
    <s v="Yes"/>
    <n v="20"/>
    <n v="7"/>
    <x v="12"/>
  </r>
  <r>
    <n v="3261"/>
    <x v="30"/>
    <x v="2"/>
    <d v="2024-03-27T00:00:00"/>
    <x v="1"/>
    <n v="10"/>
    <x v="0"/>
    <s v="No"/>
    <x v="1"/>
    <s v="Yes"/>
    <n v="20"/>
    <n v="10"/>
    <x v="2"/>
  </r>
  <r>
    <n v="3262"/>
    <x v="31"/>
    <x v="1"/>
    <d v="2024-03-28T00:00:00"/>
    <x v="0"/>
    <n v="5"/>
    <x v="1"/>
    <s v="No"/>
    <x v="1"/>
    <s v="No"/>
    <n v="0"/>
    <n v="0"/>
    <x v="1"/>
  </r>
  <r>
    <n v="3263"/>
    <x v="32"/>
    <x v="0"/>
    <d v="2024-03-29T00:00:00"/>
    <x v="1"/>
    <n v="15"/>
    <x v="0"/>
    <s v="Yes"/>
    <x v="0"/>
    <s v="Yes"/>
    <n v="20"/>
    <n v="3"/>
    <x v="3"/>
  </r>
  <r>
    <n v="3264"/>
    <x v="33"/>
    <x v="2"/>
    <d v="2024-03-30T00:00:00"/>
    <x v="0"/>
    <n v="10"/>
    <x v="2"/>
    <s v="No"/>
    <x v="1"/>
    <s v="Yes"/>
    <n v="20"/>
    <n v="15"/>
    <x v="7"/>
  </r>
  <r>
    <n v="3265"/>
    <x v="34"/>
    <x v="1"/>
    <d v="2024-03-31T00:00:00"/>
    <x v="1"/>
    <n v="5"/>
    <x v="0"/>
    <s v="No"/>
    <x v="1"/>
    <s v="No"/>
    <n v="0"/>
    <n v="1"/>
    <x v="4"/>
  </r>
  <r>
    <n v="3266"/>
    <x v="35"/>
    <x v="1"/>
    <d v="2024-04-01T00:00:00"/>
    <x v="0"/>
    <n v="5"/>
    <x v="0"/>
    <s v="No"/>
    <x v="1"/>
    <s v="No"/>
    <n v="0"/>
    <n v="0"/>
    <x v="1"/>
  </r>
  <r>
    <n v="3267"/>
    <x v="36"/>
    <x v="0"/>
    <d v="2024-04-02T00:00:00"/>
    <x v="1"/>
    <n v="15"/>
    <x v="2"/>
    <s v="Yes"/>
    <x v="0"/>
    <s v="Yes"/>
    <n v="20"/>
    <n v="7"/>
    <x v="12"/>
  </r>
  <r>
    <n v="3268"/>
    <x v="37"/>
    <x v="2"/>
    <d v="2024-04-03T00:00:00"/>
    <x v="0"/>
    <n v="10"/>
    <x v="1"/>
    <s v="No"/>
    <x v="1"/>
    <s v="Yes"/>
    <n v="20"/>
    <n v="10"/>
    <x v="2"/>
  </r>
  <r>
    <n v="3269"/>
    <x v="38"/>
    <x v="1"/>
    <d v="2024-04-04T00:00:00"/>
    <x v="1"/>
    <n v="5"/>
    <x v="2"/>
    <s v="No"/>
    <x v="1"/>
    <s v="No"/>
    <n v="0"/>
    <n v="1"/>
    <x v="4"/>
  </r>
  <r>
    <n v="3270"/>
    <x v="39"/>
    <x v="0"/>
    <d v="2024-04-05T00:00:00"/>
    <x v="0"/>
    <n v="15"/>
    <x v="0"/>
    <s v="Yes"/>
    <x v="0"/>
    <s v="Yes"/>
    <n v="20"/>
    <n v="15"/>
    <x v="14"/>
  </r>
  <r>
    <n v="3271"/>
    <x v="40"/>
    <x v="2"/>
    <d v="2024-04-06T00:00:00"/>
    <x v="1"/>
    <n v="10"/>
    <x v="0"/>
    <s v="No"/>
    <x v="1"/>
    <s v="Yes"/>
    <n v="20"/>
    <n v="5"/>
    <x v="13"/>
  </r>
  <r>
    <n v="3272"/>
    <x v="41"/>
    <x v="1"/>
    <d v="2024-04-07T00:00:00"/>
    <x v="0"/>
    <n v="5"/>
    <x v="1"/>
    <s v="No"/>
    <x v="1"/>
    <s v="No"/>
    <n v="0"/>
    <n v="0"/>
    <x v="1"/>
  </r>
  <r>
    <n v="3273"/>
    <x v="42"/>
    <x v="0"/>
    <d v="2024-04-08T00:00:00"/>
    <x v="1"/>
    <n v="15"/>
    <x v="2"/>
    <s v="Yes"/>
    <x v="0"/>
    <s v="Yes"/>
    <n v="20"/>
    <n v="20"/>
    <x v="8"/>
  </r>
  <r>
    <n v="3274"/>
    <x v="43"/>
    <x v="2"/>
    <d v="2024-04-09T00:00:00"/>
    <x v="0"/>
    <n v="10"/>
    <x v="2"/>
    <s v="No"/>
    <x v="1"/>
    <s v="Yes"/>
    <n v="20"/>
    <n v="12"/>
    <x v="10"/>
  </r>
  <r>
    <n v="3275"/>
    <x v="44"/>
    <x v="1"/>
    <d v="2024-04-10T00:00:00"/>
    <x v="1"/>
    <n v="5"/>
    <x v="0"/>
    <s v="No"/>
    <x v="1"/>
    <s v="No"/>
    <n v="0"/>
    <n v="2"/>
    <x v="11"/>
  </r>
  <r>
    <n v="3276"/>
    <x v="45"/>
    <x v="0"/>
    <d v="2024-04-11T00:00:00"/>
    <x v="0"/>
    <n v="15"/>
    <x v="1"/>
    <s v="Yes"/>
    <x v="0"/>
    <s v="Yes"/>
    <n v="20"/>
    <n v="5"/>
    <x v="0"/>
  </r>
  <r>
    <n v="3277"/>
    <x v="46"/>
    <x v="2"/>
    <d v="2024-04-12T00:00:00"/>
    <x v="1"/>
    <n v="10"/>
    <x v="0"/>
    <s v="No"/>
    <x v="1"/>
    <s v="Yes"/>
    <n v="20"/>
    <n v="10"/>
    <x v="2"/>
  </r>
  <r>
    <n v="3278"/>
    <x v="47"/>
    <x v="1"/>
    <d v="2024-04-13T00:00:00"/>
    <x v="0"/>
    <n v="5"/>
    <x v="2"/>
    <s v="No"/>
    <x v="1"/>
    <s v="No"/>
    <n v="0"/>
    <n v="0"/>
    <x v="1"/>
  </r>
  <r>
    <n v="3279"/>
    <x v="48"/>
    <x v="0"/>
    <d v="2024-04-14T00:00:00"/>
    <x v="1"/>
    <n v="15"/>
    <x v="0"/>
    <s v="Yes"/>
    <x v="0"/>
    <s v="Yes"/>
    <n v="20"/>
    <n v="3"/>
    <x v="3"/>
  </r>
  <r>
    <n v="3280"/>
    <x v="49"/>
    <x v="2"/>
    <d v="2024-04-15T00:00:00"/>
    <x v="0"/>
    <n v="10"/>
    <x v="1"/>
    <s v="No"/>
    <x v="1"/>
    <s v="Yes"/>
    <n v="20"/>
    <n v="15"/>
    <x v="7"/>
  </r>
  <r>
    <n v="3281"/>
    <x v="50"/>
    <x v="1"/>
    <d v="2024-04-16T00:00:00"/>
    <x v="1"/>
    <n v="5"/>
    <x v="0"/>
    <s v="No"/>
    <x v="1"/>
    <s v="No"/>
    <n v="0"/>
    <n v="1"/>
    <x v="4"/>
  </r>
  <r>
    <n v="3282"/>
    <x v="51"/>
    <x v="0"/>
    <d v="2024-04-17T00:00:00"/>
    <x v="0"/>
    <n v="15"/>
    <x v="2"/>
    <s v="Yes"/>
    <x v="0"/>
    <s v="Yes"/>
    <n v="20"/>
    <n v="7"/>
    <x v="12"/>
  </r>
  <r>
    <n v="3283"/>
    <x v="52"/>
    <x v="2"/>
    <d v="2024-04-18T00:00:00"/>
    <x v="1"/>
    <n v="10"/>
    <x v="0"/>
    <s v="No"/>
    <x v="1"/>
    <s v="Yes"/>
    <n v="20"/>
    <n v="10"/>
    <x v="2"/>
  </r>
  <r>
    <n v="3284"/>
    <x v="53"/>
    <x v="1"/>
    <d v="2024-04-19T00:00:00"/>
    <x v="0"/>
    <n v="5"/>
    <x v="1"/>
    <s v="No"/>
    <x v="1"/>
    <s v="No"/>
    <n v="0"/>
    <n v="0"/>
    <x v="1"/>
  </r>
  <r>
    <n v="3285"/>
    <x v="54"/>
    <x v="0"/>
    <d v="2024-04-20T00:00:00"/>
    <x v="1"/>
    <n v="15"/>
    <x v="0"/>
    <s v="Yes"/>
    <x v="0"/>
    <s v="Yes"/>
    <n v="20"/>
    <n v="20"/>
    <x v="8"/>
  </r>
  <r>
    <n v="3286"/>
    <x v="55"/>
    <x v="2"/>
    <d v="2024-04-21T00:00:00"/>
    <x v="0"/>
    <n v="10"/>
    <x v="2"/>
    <s v="No"/>
    <x v="1"/>
    <s v="Yes"/>
    <n v="20"/>
    <n v="15"/>
    <x v="7"/>
  </r>
  <r>
    <n v="3287"/>
    <x v="56"/>
    <x v="1"/>
    <d v="2024-04-22T00:00:00"/>
    <x v="1"/>
    <n v="5"/>
    <x v="0"/>
    <s v="No"/>
    <x v="1"/>
    <s v="No"/>
    <n v="0"/>
    <n v="1"/>
    <x v="4"/>
  </r>
  <r>
    <n v="3288"/>
    <x v="57"/>
    <x v="0"/>
    <d v="2024-04-23T00:00:00"/>
    <x v="0"/>
    <n v="15"/>
    <x v="1"/>
    <s v="Yes"/>
    <x v="0"/>
    <s v="Yes"/>
    <n v="20"/>
    <n v="3"/>
    <x v="3"/>
  </r>
  <r>
    <n v="3289"/>
    <x v="58"/>
    <x v="2"/>
    <d v="2024-04-24T00:00:00"/>
    <x v="1"/>
    <n v="10"/>
    <x v="0"/>
    <s v="No"/>
    <x v="1"/>
    <s v="Yes"/>
    <n v="20"/>
    <n v="10"/>
    <x v="2"/>
  </r>
  <r>
    <n v="3290"/>
    <x v="59"/>
    <x v="1"/>
    <d v="2024-04-25T00:00:00"/>
    <x v="0"/>
    <n v="5"/>
    <x v="2"/>
    <s v="No"/>
    <x v="1"/>
    <s v="No"/>
    <n v="0"/>
    <n v="0"/>
    <x v="1"/>
  </r>
  <r>
    <n v="3291"/>
    <x v="60"/>
    <x v="0"/>
    <d v="2024-04-26T00:00:00"/>
    <x v="1"/>
    <n v="15"/>
    <x v="0"/>
    <s v="Yes"/>
    <x v="0"/>
    <s v="Yes"/>
    <n v="20"/>
    <n v="5"/>
    <x v="0"/>
  </r>
  <r>
    <n v="3292"/>
    <x v="61"/>
    <x v="2"/>
    <d v="2024-04-27T00:00:00"/>
    <x v="0"/>
    <n v="10"/>
    <x v="1"/>
    <s v="No"/>
    <x v="1"/>
    <s v="Yes"/>
    <n v="20"/>
    <n v="15"/>
    <x v="7"/>
  </r>
  <r>
    <n v="3293"/>
    <x v="62"/>
    <x v="1"/>
    <d v="2024-04-28T00:00:00"/>
    <x v="1"/>
    <n v="5"/>
    <x v="0"/>
    <s v="No"/>
    <x v="1"/>
    <s v="No"/>
    <n v="0"/>
    <n v="1"/>
    <x v="4"/>
  </r>
  <r>
    <n v="3294"/>
    <x v="63"/>
    <x v="0"/>
    <d v="2024-04-29T00:00:00"/>
    <x v="0"/>
    <n v="15"/>
    <x v="2"/>
    <s v="Yes"/>
    <x v="0"/>
    <s v="Yes"/>
    <n v="20"/>
    <n v="20"/>
    <x v="8"/>
  </r>
  <r>
    <n v="3295"/>
    <x v="64"/>
    <x v="2"/>
    <d v="2024-04-30T00:00:00"/>
    <x v="1"/>
    <n v="10"/>
    <x v="0"/>
    <s v="No"/>
    <x v="1"/>
    <s v="Yes"/>
    <n v="20"/>
    <n v="5"/>
    <x v="13"/>
  </r>
  <r>
    <n v="3296"/>
    <x v="65"/>
    <x v="1"/>
    <d v="2024-05-01T00:00:00"/>
    <x v="1"/>
    <n v="5"/>
    <x v="0"/>
    <s v="No"/>
    <x v="1"/>
    <s v="No"/>
    <n v="0"/>
    <n v="0"/>
    <x v="1"/>
  </r>
  <r>
    <n v="3297"/>
    <x v="66"/>
    <x v="0"/>
    <d v="2024-05-02T00:00:00"/>
    <x v="0"/>
    <n v="15"/>
    <x v="2"/>
    <s v="Yes"/>
    <x v="0"/>
    <s v="Yes"/>
    <n v="20"/>
    <n v="7"/>
    <x v="12"/>
  </r>
  <r>
    <n v="3298"/>
    <x v="67"/>
    <x v="2"/>
    <d v="2024-05-03T00:00:00"/>
    <x v="1"/>
    <n v="10"/>
    <x v="1"/>
    <s v="No"/>
    <x v="1"/>
    <s v="Yes"/>
    <n v="20"/>
    <n v="10"/>
    <x v="2"/>
  </r>
  <r>
    <n v="3299"/>
    <x v="68"/>
    <x v="1"/>
    <d v="2024-05-04T00:00:00"/>
    <x v="0"/>
    <n v="5"/>
    <x v="2"/>
    <s v="No"/>
    <x v="1"/>
    <s v="No"/>
    <n v="0"/>
    <n v="1"/>
    <x v="4"/>
  </r>
  <r>
    <n v="3300"/>
    <x v="69"/>
    <x v="0"/>
    <d v="2024-05-05T00:00:00"/>
    <x v="1"/>
    <n v="15"/>
    <x v="0"/>
    <s v="Yes"/>
    <x v="0"/>
    <s v="Yes"/>
    <n v="20"/>
    <n v="15"/>
    <x v="14"/>
  </r>
  <r>
    <n v="3301"/>
    <x v="70"/>
    <x v="2"/>
    <d v="2024-05-06T00:00:00"/>
    <x v="0"/>
    <n v="10"/>
    <x v="0"/>
    <s v="No"/>
    <x v="1"/>
    <s v="Yes"/>
    <n v="20"/>
    <n v="5"/>
    <x v="13"/>
  </r>
  <r>
    <n v="3302"/>
    <x v="71"/>
    <x v="1"/>
    <d v="2024-05-07T00:00:00"/>
    <x v="1"/>
    <n v="5"/>
    <x v="1"/>
    <s v="No"/>
    <x v="1"/>
    <s v="No"/>
    <n v="0"/>
    <n v="0"/>
    <x v="1"/>
  </r>
  <r>
    <n v="3303"/>
    <x v="72"/>
    <x v="0"/>
    <d v="2024-05-08T00:00:00"/>
    <x v="0"/>
    <n v="15"/>
    <x v="2"/>
    <s v="Yes"/>
    <x v="0"/>
    <s v="Yes"/>
    <n v="20"/>
    <n v="20"/>
    <x v="8"/>
  </r>
  <r>
    <n v="3304"/>
    <x v="73"/>
    <x v="2"/>
    <d v="2024-05-09T00:00:00"/>
    <x v="1"/>
    <n v="10"/>
    <x v="2"/>
    <s v="No"/>
    <x v="1"/>
    <s v="Yes"/>
    <n v="20"/>
    <n v="12"/>
    <x v="10"/>
  </r>
  <r>
    <n v="3305"/>
    <x v="74"/>
    <x v="1"/>
    <d v="2024-05-10T00:00:00"/>
    <x v="0"/>
    <n v="5"/>
    <x v="0"/>
    <s v="No"/>
    <x v="1"/>
    <s v="No"/>
    <n v="0"/>
    <n v="2"/>
    <x v="11"/>
  </r>
  <r>
    <n v="3306"/>
    <x v="75"/>
    <x v="0"/>
    <d v="2024-05-11T00:00:00"/>
    <x v="1"/>
    <n v="15"/>
    <x v="1"/>
    <s v="Yes"/>
    <x v="0"/>
    <s v="Yes"/>
    <n v="20"/>
    <n v="5"/>
    <x v="0"/>
  </r>
  <r>
    <n v="3307"/>
    <x v="76"/>
    <x v="2"/>
    <d v="2024-05-12T00:00:00"/>
    <x v="0"/>
    <n v="10"/>
    <x v="0"/>
    <s v="No"/>
    <x v="1"/>
    <s v="Yes"/>
    <n v="20"/>
    <n v="10"/>
    <x v="2"/>
  </r>
  <r>
    <n v="3308"/>
    <x v="77"/>
    <x v="1"/>
    <d v="2024-05-13T00:00:00"/>
    <x v="1"/>
    <n v="5"/>
    <x v="2"/>
    <s v="No"/>
    <x v="1"/>
    <s v="No"/>
    <n v="0"/>
    <n v="0"/>
    <x v="1"/>
  </r>
  <r>
    <n v="3309"/>
    <x v="78"/>
    <x v="0"/>
    <d v="2024-05-14T00:00:00"/>
    <x v="0"/>
    <n v="15"/>
    <x v="0"/>
    <s v="Yes"/>
    <x v="0"/>
    <s v="Yes"/>
    <n v="20"/>
    <n v="3"/>
    <x v="3"/>
  </r>
  <r>
    <n v="3310"/>
    <x v="79"/>
    <x v="2"/>
    <d v="2024-05-15T00:00:00"/>
    <x v="1"/>
    <n v="10"/>
    <x v="1"/>
    <s v="No"/>
    <x v="1"/>
    <s v="Yes"/>
    <n v="20"/>
    <n v="15"/>
    <x v="7"/>
  </r>
  <r>
    <n v="3311"/>
    <x v="80"/>
    <x v="1"/>
    <d v="2024-05-16T00:00:00"/>
    <x v="0"/>
    <n v="5"/>
    <x v="0"/>
    <s v="No"/>
    <x v="1"/>
    <s v="No"/>
    <n v="0"/>
    <n v="1"/>
    <x v="4"/>
  </r>
  <r>
    <n v="3312"/>
    <x v="81"/>
    <x v="0"/>
    <d v="2024-05-17T00:00:00"/>
    <x v="1"/>
    <n v="15"/>
    <x v="2"/>
    <s v="Yes"/>
    <x v="0"/>
    <s v="Yes"/>
    <n v="20"/>
    <n v="7"/>
    <x v="12"/>
  </r>
  <r>
    <n v="3313"/>
    <x v="82"/>
    <x v="2"/>
    <d v="2024-05-18T00:00:00"/>
    <x v="0"/>
    <n v="10"/>
    <x v="0"/>
    <s v="No"/>
    <x v="1"/>
    <s v="Yes"/>
    <n v="20"/>
    <n v="10"/>
    <x v="2"/>
  </r>
  <r>
    <n v="3314"/>
    <x v="83"/>
    <x v="1"/>
    <d v="2024-05-19T00:00:00"/>
    <x v="1"/>
    <n v="5"/>
    <x v="1"/>
    <s v="No"/>
    <x v="1"/>
    <s v="No"/>
    <n v="0"/>
    <n v="0"/>
    <x v="1"/>
  </r>
  <r>
    <n v="3315"/>
    <x v="84"/>
    <x v="0"/>
    <d v="2024-05-20T00:00:00"/>
    <x v="0"/>
    <n v="15"/>
    <x v="0"/>
    <s v="Yes"/>
    <x v="0"/>
    <s v="Yes"/>
    <n v="20"/>
    <n v="20"/>
    <x v="8"/>
  </r>
  <r>
    <n v="3316"/>
    <x v="85"/>
    <x v="2"/>
    <d v="2024-05-21T00:00:00"/>
    <x v="1"/>
    <n v="10"/>
    <x v="2"/>
    <s v="No"/>
    <x v="1"/>
    <s v="Yes"/>
    <n v="20"/>
    <n v="15"/>
    <x v="7"/>
  </r>
  <r>
    <n v="3317"/>
    <x v="86"/>
    <x v="1"/>
    <d v="2024-05-22T00:00:00"/>
    <x v="0"/>
    <n v="5"/>
    <x v="0"/>
    <s v="No"/>
    <x v="1"/>
    <s v="No"/>
    <n v="0"/>
    <n v="1"/>
    <x v="4"/>
  </r>
  <r>
    <n v="3318"/>
    <x v="87"/>
    <x v="0"/>
    <d v="2024-05-23T00:00:00"/>
    <x v="1"/>
    <n v="15"/>
    <x v="1"/>
    <s v="Yes"/>
    <x v="0"/>
    <s v="Yes"/>
    <n v="20"/>
    <n v="3"/>
    <x v="3"/>
  </r>
  <r>
    <n v="3319"/>
    <x v="88"/>
    <x v="2"/>
    <d v="2024-05-24T00:00:00"/>
    <x v="0"/>
    <n v="10"/>
    <x v="0"/>
    <s v="No"/>
    <x v="1"/>
    <s v="Yes"/>
    <n v="20"/>
    <n v="10"/>
    <x v="2"/>
  </r>
  <r>
    <n v="3320"/>
    <x v="89"/>
    <x v="1"/>
    <d v="2024-05-25T00:00:00"/>
    <x v="1"/>
    <n v="5"/>
    <x v="2"/>
    <s v="No"/>
    <x v="1"/>
    <s v="No"/>
    <n v="0"/>
    <n v="0"/>
    <x v="1"/>
  </r>
  <r>
    <n v="3321"/>
    <x v="90"/>
    <x v="0"/>
    <d v="2024-05-26T00:00:00"/>
    <x v="0"/>
    <n v="15"/>
    <x v="0"/>
    <s v="Yes"/>
    <x v="0"/>
    <s v="Yes"/>
    <n v="20"/>
    <n v="5"/>
    <x v="0"/>
  </r>
  <r>
    <n v="3322"/>
    <x v="91"/>
    <x v="2"/>
    <d v="2024-05-27T00:00:00"/>
    <x v="1"/>
    <n v="10"/>
    <x v="1"/>
    <s v="No"/>
    <x v="1"/>
    <s v="Yes"/>
    <n v="20"/>
    <n v="15"/>
    <x v="7"/>
  </r>
  <r>
    <n v="3323"/>
    <x v="92"/>
    <x v="1"/>
    <d v="2024-05-28T00:00:00"/>
    <x v="0"/>
    <n v="5"/>
    <x v="0"/>
    <s v="No"/>
    <x v="1"/>
    <s v="No"/>
    <n v="0"/>
    <n v="1"/>
    <x v="4"/>
  </r>
  <r>
    <n v="3324"/>
    <x v="93"/>
    <x v="0"/>
    <d v="2024-05-29T00:00:00"/>
    <x v="1"/>
    <n v="15"/>
    <x v="2"/>
    <s v="Yes"/>
    <x v="0"/>
    <s v="Yes"/>
    <n v="20"/>
    <n v="20"/>
    <x v="8"/>
  </r>
  <r>
    <n v="3325"/>
    <x v="94"/>
    <x v="2"/>
    <d v="2024-05-30T00:00:00"/>
    <x v="0"/>
    <n v="10"/>
    <x v="2"/>
    <s v="No"/>
    <x v="1"/>
    <s v="Yes"/>
    <n v="20"/>
    <n v="15"/>
    <x v="7"/>
  </r>
  <r>
    <n v="3326"/>
    <x v="95"/>
    <x v="1"/>
    <d v="2024-05-31T00:00:00"/>
    <x v="1"/>
    <n v="5"/>
    <x v="1"/>
    <s v="No"/>
    <x v="1"/>
    <s v="No"/>
    <n v="0"/>
    <n v="0"/>
    <x v="1"/>
  </r>
  <r>
    <n v="3327"/>
    <x v="96"/>
    <x v="0"/>
    <d v="2024-06-01T00:00:00"/>
    <x v="0"/>
    <n v="15"/>
    <x v="0"/>
    <s v="Yes"/>
    <x v="0"/>
    <s v="Yes"/>
    <n v="20"/>
    <n v="7"/>
    <x v="12"/>
  </r>
  <r>
    <n v="3328"/>
    <x v="97"/>
    <x v="2"/>
    <d v="2024-06-02T00:00:00"/>
    <x v="1"/>
    <n v="10"/>
    <x v="1"/>
    <s v="No"/>
    <x v="1"/>
    <s v="Yes"/>
    <n v="20"/>
    <n v="10"/>
    <x v="2"/>
  </r>
  <r>
    <n v="3329"/>
    <x v="98"/>
    <x v="1"/>
    <d v="2024-06-03T00:00:00"/>
    <x v="0"/>
    <n v="5"/>
    <x v="2"/>
    <s v="No"/>
    <x v="1"/>
    <s v="No"/>
    <n v="0"/>
    <n v="1"/>
    <x v="4"/>
  </r>
  <r>
    <n v="3330"/>
    <x v="99"/>
    <x v="0"/>
    <d v="2024-06-04T00:00:00"/>
    <x v="1"/>
    <n v="15"/>
    <x v="0"/>
    <s v="Yes"/>
    <x v="0"/>
    <s v="Yes"/>
    <n v="20"/>
    <n v="15"/>
    <x v="14"/>
  </r>
  <r>
    <n v="3331"/>
    <x v="100"/>
    <x v="2"/>
    <d v="2024-06-05T00:00:00"/>
    <x v="0"/>
    <n v="10"/>
    <x v="0"/>
    <s v="No"/>
    <x v="1"/>
    <s v="Yes"/>
    <n v="20"/>
    <n v="5"/>
    <x v="13"/>
  </r>
  <r>
    <n v="3332"/>
    <x v="101"/>
    <x v="1"/>
    <d v="2024-06-06T00:00:00"/>
    <x v="1"/>
    <n v="5"/>
    <x v="1"/>
    <s v="No"/>
    <x v="1"/>
    <s v="No"/>
    <n v="0"/>
    <n v="0"/>
    <x v="1"/>
  </r>
  <r>
    <n v="3333"/>
    <x v="102"/>
    <x v="0"/>
    <d v="2024-06-07T00:00:00"/>
    <x v="0"/>
    <n v="15"/>
    <x v="2"/>
    <s v="Yes"/>
    <x v="0"/>
    <s v="Yes"/>
    <n v="20"/>
    <n v="20"/>
    <x v="8"/>
  </r>
  <r>
    <n v="3334"/>
    <x v="103"/>
    <x v="2"/>
    <d v="2024-06-08T00:00:00"/>
    <x v="1"/>
    <n v="10"/>
    <x v="2"/>
    <s v="No"/>
    <x v="1"/>
    <s v="Yes"/>
    <n v="20"/>
    <n v="12"/>
    <x v="10"/>
  </r>
  <r>
    <n v="3335"/>
    <x v="104"/>
    <x v="1"/>
    <d v="2024-06-09T00:00:00"/>
    <x v="0"/>
    <n v="5"/>
    <x v="0"/>
    <s v="No"/>
    <x v="1"/>
    <s v="No"/>
    <n v="0"/>
    <n v="2"/>
    <x v="11"/>
  </r>
  <r>
    <n v="3336"/>
    <x v="105"/>
    <x v="1"/>
    <d v="2024-06-10T00:00:00"/>
    <x v="0"/>
    <n v="5"/>
    <x v="0"/>
    <s v="No"/>
    <x v="1"/>
    <s v="No"/>
    <n v="0"/>
    <n v="0"/>
    <x v="1"/>
  </r>
  <r>
    <n v="3337"/>
    <x v="106"/>
    <x v="0"/>
    <d v="2024-06-11T00:00:00"/>
    <x v="1"/>
    <n v="15"/>
    <x v="2"/>
    <s v="Yes"/>
    <x v="0"/>
    <s v="Yes"/>
    <n v="20"/>
    <n v="7"/>
    <x v="12"/>
  </r>
  <r>
    <n v="3338"/>
    <x v="107"/>
    <x v="2"/>
    <d v="2024-06-12T00:00:00"/>
    <x v="0"/>
    <n v="10"/>
    <x v="1"/>
    <s v="No"/>
    <x v="1"/>
    <s v="Yes"/>
    <n v="20"/>
    <n v="10"/>
    <x v="2"/>
  </r>
  <r>
    <n v="3339"/>
    <x v="108"/>
    <x v="1"/>
    <d v="2024-06-13T00:00:00"/>
    <x v="1"/>
    <n v="5"/>
    <x v="2"/>
    <s v="No"/>
    <x v="1"/>
    <s v="No"/>
    <n v="0"/>
    <n v="1"/>
    <x v="4"/>
  </r>
  <r>
    <n v="3340"/>
    <x v="109"/>
    <x v="0"/>
    <d v="2024-06-14T00:00:00"/>
    <x v="0"/>
    <n v="15"/>
    <x v="0"/>
    <s v="Yes"/>
    <x v="0"/>
    <s v="Yes"/>
    <n v="20"/>
    <n v="15"/>
    <x v="14"/>
  </r>
  <r>
    <n v="3341"/>
    <x v="110"/>
    <x v="2"/>
    <d v="2024-06-15T00:00:00"/>
    <x v="1"/>
    <n v="10"/>
    <x v="0"/>
    <s v="No"/>
    <x v="1"/>
    <s v="Yes"/>
    <n v="20"/>
    <n v="5"/>
    <x v="13"/>
  </r>
  <r>
    <n v="3342"/>
    <x v="111"/>
    <x v="1"/>
    <d v="2024-06-16T00:00:00"/>
    <x v="0"/>
    <n v="5"/>
    <x v="1"/>
    <s v="No"/>
    <x v="1"/>
    <s v="No"/>
    <n v="0"/>
    <n v="0"/>
    <x v="1"/>
  </r>
  <r>
    <n v="3343"/>
    <x v="112"/>
    <x v="0"/>
    <d v="2024-06-17T00:00:00"/>
    <x v="1"/>
    <n v="15"/>
    <x v="2"/>
    <s v="Yes"/>
    <x v="0"/>
    <s v="Yes"/>
    <n v="20"/>
    <n v="20"/>
    <x v="8"/>
  </r>
  <r>
    <n v="3344"/>
    <x v="113"/>
    <x v="2"/>
    <d v="2024-06-18T00:00:00"/>
    <x v="0"/>
    <n v="10"/>
    <x v="2"/>
    <s v="No"/>
    <x v="1"/>
    <s v="Yes"/>
    <n v="20"/>
    <n v="12"/>
    <x v="10"/>
  </r>
  <r>
    <n v="3345"/>
    <x v="114"/>
    <x v="1"/>
    <d v="2024-06-19T00:00:00"/>
    <x v="1"/>
    <n v="5"/>
    <x v="0"/>
    <s v="No"/>
    <x v="1"/>
    <s v="No"/>
    <n v="0"/>
    <n v="2"/>
    <x v="11"/>
  </r>
  <r>
    <n v="3346"/>
    <x v="115"/>
    <x v="0"/>
    <d v="2024-06-20T00:00:00"/>
    <x v="0"/>
    <n v="15"/>
    <x v="1"/>
    <s v="Yes"/>
    <x v="0"/>
    <s v="Yes"/>
    <n v="20"/>
    <n v="5"/>
    <x v="0"/>
  </r>
  <r>
    <n v="3347"/>
    <x v="116"/>
    <x v="2"/>
    <d v="2024-06-21T00:00:00"/>
    <x v="1"/>
    <n v="10"/>
    <x v="0"/>
    <s v="No"/>
    <x v="1"/>
    <s v="Yes"/>
    <n v="20"/>
    <n v="10"/>
    <x v="2"/>
  </r>
  <r>
    <n v="3348"/>
    <x v="117"/>
    <x v="1"/>
    <d v="2024-06-22T00:00:00"/>
    <x v="0"/>
    <n v="5"/>
    <x v="2"/>
    <s v="No"/>
    <x v="1"/>
    <s v="No"/>
    <n v="0"/>
    <n v="0"/>
    <x v="1"/>
  </r>
  <r>
    <n v="3349"/>
    <x v="93"/>
    <x v="0"/>
    <d v="2024-06-23T00:00:00"/>
    <x v="1"/>
    <n v="15"/>
    <x v="0"/>
    <s v="Yes"/>
    <x v="0"/>
    <s v="Yes"/>
    <n v="20"/>
    <n v="3"/>
    <x v="3"/>
  </r>
  <r>
    <n v="3350"/>
    <x v="118"/>
    <x v="2"/>
    <d v="2024-06-24T00:00:00"/>
    <x v="0"/>
    <n v="10"/>
    <x v="1"/>
    <s v="No"/>
    <x v="1"/>
    <s v="Yes"/>
    <n v="20"/>
    <n v="15"/>
    <x v="7"/>
  </r>
  <r>
    <n v="3351"/>
    <x v="119"/>
    <x v="1"/>
    <d v="2024-06-25T00:00:00"/>
    <x v="1"/>
    <n v="5"/>
    <x v="0"/>
    <s v="No"/>
    <x v="1"/>
    <s v="No"/>
    <n v="0"/>
    <n v="1"/>
    <x v="4"/>
  </r>
  <r>
    <n v="3352"/>
    <x v="120"/>
    <x v="0"/>
    <d v="2024-06-26T00:00:00"/>
    <x v="0"/>
    <n v="15"/>
    <x v="2"/>
    <s v="Yes"/>
    <x v="0"/>
    <s v="Yes"/>
    <n v="20"/>
    <n v="7"/>
    <x v="12"/>
  </r>
  <r>
    <n v="3353"/>
    <x v="121"/>
    <x v="2"/>
    <d v="2024-06-27T00:00:00"/>
    <x v="1"/>
    <n v="10"/>
    <x v="0"/>
    <s v="No"/>
    <x v="1"/>
    <s v="Yes"/>
    <n v="20"/>
    <n v="10"/>
    <x v="2"/>
  </r>
  <r>
    <n v="3354"/>
    <x v="122"/>
    <x v="1"/>
    <d v="2024-06-28T00:00:00"/>
    <x v="0"/>
    <n v="5"/>
    <x v="1"/>
    <s v="No"/>
    <x v="1"/>
    <s v="No"/>
    <n v="0"/>
    <n v="0"/>
    <x v="1"/>
  </r>
  <r>
    <n v="3355"/>
    <x v="123"/>
    <x v="0"/>
    <d v="2024-06-29T00:00:00"/>
    <x v="1"/>
    <n v="15"/>
    <x v="0"/>
    <s v="Yes"/>
    <x v="0"/>
    <s v="Yes"/>
    <n v="20"/>
    <n v="20"/>
    <x v="8"/>
  </r>
  <r>
    <n v="3356"/>
    <x v="124"/>
    <x v="2"/>
    <d v="2024-06-30T00:00:00"/>
    <x v="0"/>
    <n v="10"/>
    <x v="2"/>
    <s v="No"/>
    <x v="1"/>
    <s v="Yes"/>
    <n v="20"/>
    <n v="15"/>
    <x v="7"/>
  </r>
  <r>
    <n v="3357"/>
    <x v="125"/>
    <x v="1"/>
    <d v="2024-07-01T00:00:00"/>
    <x v="1"/>
    <n v="5"/>
    <x v="0"/>
    <s v="No"/>
    <x v="1"/>
    <s v="No"/>
    <n v="0"/>
    <n v="1"/>
    <x v="4"/>
  </r>
  <r>
    <n v="3358"/>
    <x v="126"/>
    <x v="0"/>
    <d v="2024-07-02T00:00:00"/>
    <x v="0"/>
    <n v="15"/>
    <x v="1"/>
    <s v="Yes"/>
    <x v="0"/>
    <s v="Yes"/>
    <n v="20"/>
    <n v="3"/>
    <x v="3"/>
  </r>
  <r>
    <n v="3359"/>
    <x v="127"/>
    <x v="2"/>
    <d v="2024-07-03T00:00:00"/>
    <x v="1"/>
    <n v="10"/>
    <x v="0"/>
    <s v="No"/>
    <x v="1"/>
    <s v="Yes"/>
    <n v="20"/>
    <n v="10"/>
    <x v="2"/>
  </r>
  <r>
    <n v="3360"/>
    <x v="128"/>
    <x v="1"/>
    <d v="2024-07-04T00:00:00"/>
    <x v="0"/>
    <n v="5"/>
    <x v="2"/>
    <s v="No"/>
    <x v="1"/>
    <s v="No"/>
    <n v="0"/>
    <n v="0"/>
    <x v="1"/>
  </r>
  <r>
    <n v="3361"/>
    <x v="129"/>
    <x v="0"/>
    <d v="2024-07-05T00:00:00"/>
    <x v="1"/>
    <n v="15"/>
    <x v="0"/>
    <s v="Yes"/>
    <x v="0"/>
    <s v="Yes"/>
    <n v="20"/>
    <n v="15"/>
    <x v="14"/>
  </r>
  <r>
    <n v="3362"/>
    <x v="130"/>
    <x v="2"/>
    <d v="2024-07-06T00:00:00"/>
    <x v="0"/>
    <n v="10"/>
    <x v="1"/>
    <s v="No"/>
    <x v="1"/>
    <s v="Yes"/>
    <n v="20"/>
    <n v="15"/>
    <x v="7"/>
  </r>
  <r>
    <n v="3363"/>
    <x v="131"/>
    <x v="1"/>
    <d v="2024-07-07T00:00:00"/>
    <x v="1"/>
    <n v="5"/>
    <x v="0"/>
    <s v="No"/>
    <x v="1"/>
    <s v="No"/>
    <n v="0"/>
    <n v="1"/>
    <x v="4"/>
  </r>
  <r>
    <n v="3364"/>
    <x v="132"/>
    <x v="0"/>
    <d v="2024-07-08T00:00:00"/>
    <x v="0"/>
    <n v="15"/>
    <x v="2"/>
    <s v="Yes"/>
    <x v="0"/>
    <s v="Yes"/>
    <n v="20"/>
    <n v="7"/>
    <x v="12"/>
  </r>
  <r>
    <n v="3365"/>
    <x v="133"/>
    <x v="2"/>
    <d v="2024-07-09T00:00:00"/>
    <x v="1"/>
    <n v="10"/>
    <x v="0"/>
    <s v="No"/>
    <x v="1"/>
    <s v="Yes"/>
    <n v="20"/>
    <n v="10"/>
    <x v="2"/>
  </r>
  <r>
    <n v="3366"/>
    <x v="134"/>
    <x v="1"/>
    <d v="2024-07-10T00:00:00"/>
    <x v="0"/>
    <n v="5"/>
    <x v="0"/>
    <s v="No"/>
    <x v="1"/>
    <s v="No"/>
    <n v="0"/>
    <n v="0"/>
    <x v="1"/>
  </r>
  <r>
    <n v="3367"/>
    <x v="135"/>
    <x v="0"/>
    <d v="2024-07-11T00:00:00"/>
    <x v="1"/>
    <n v="15"/>
    <x v="2"/>
    <s v="Yes"/>
    <x v="0"/>
    <s v="Yes"/>
    <n v="20"/>
    <n v="7"/>
    <x v="12"/>
  </r>
  <r>
    <n v="3368"/>
    <x v="136"/>
    <x v="2"/>
    <d v="2024-07-12T00:00:00"/>
    <x v="0"/>
    <n v="10"/>
    <x v="1"/>
    <s v="No"/>
    <x v="1"/>
    <s v="Yes"/>
    <n v="20"/>
    <n v="10"/>
    <x v="2"/>
  </r>
  <r>
    <n v="3369"/>
    <x v="137"/>
    <x v="1"/>
    <d v="2024-07-13T00:00:00"/>
    <x v="1"/>
    <n v="5"/>
    <x v="2"/>
    <s v="No"/>
    <x v="1"/>
    <s v="No"/>
    <n v="0"/>
    <n v="1"/>
    <x v="4"/>
  </r>
  <r>
    <n v="3370"/>
    <x v="138"/>
    <x v="0"/>
    <d v="2024-07-14T00:00:00"/>
    <x v="0"/>
    <n v="15"/>
    <x v="0"/>
    <s v="Yes"/>
    <x v="0"/>
    <s v="Yes"/>
    <n v="20"/>
    <n v="15"/>
    <x v="14"/>
  </r>
  <r>
    <n v="3371"/>
    <x v="139"/>
    <x v="2"/>
    <d v="2024-07-15T00:00:00"/>
    <x v="1"/>
    <n v="10"/>
    <x v="0"/>
    <s v="No"/>
    <x v="1"/>
    <s v="Yes"/>
    <n v="20"/>
    <n v="5"/>
    <x v="13"/>
  </r>
  <r>
    <n v="3372"/>
    <x v="140"/>
    <x v="1"/>
    <d v="2024-07-16T00:00:00"/>
    <x v="0"/>
    <n v="5"/>
    <x v="1"/>
    <s v="No"/>
    <x v="1"/>
    <s v="No"/>
    <n v="0"/>
    <n v="0"/>
    <x v="1"/>
  </r>
  <r>
    <n v="3373"/>
    <x v="141"/>
    <x v="0"/>
    <d v="2024-07-17T00:00:00"/>
    <x v="1"/>
    <n v="15"/>
    <x v="2"/>
    <s v="Yes"/>
    <x v="0"/>
    <s v="Yes"/>
    <n v="20"/>
    <n v="20"/>
    <x v="8"/>
  </r>
  <r>
    <n v="3374"/>
    <x v="142"/>
    <x v="2"/>
    <d v="2024-07-18T00:00:00"/>
    <x v="0"/>
    <n v="10"/>
    <x v="2"/>
    <s v="No"/>
    <x v="1"/>
    <s v="Yes"/>
    <n v="20"/>
    <n v="12"/>
    <x v="10"/>
  </r>
  <r>
    <n v="3375"/>
    <x v="143"/>
    <x v="1"/>
    <d v="2024-07-19T00:00:00"/>
    <x v="1"/>
    <n v="5"/>
    <x v="0"/>
    <s v="No"/>
    <x v="1"/>
    <s v="No"/>
    <n v="0"/>
    <n v="2"/>
    <x v="11"/>
  </r>
  <r>
    <n v="3376"/>
    <x v="144"/>
    <x v="0"/>
    <d v="2024-07-20T00:00:00"/>
    <x v="0"/>
    <n v="15"/>
    <x v="1"/>
    <s v="Yes"/>
    <x v="0"/>
    <s v="Yes"/>
    <n v="20"/>
    <n v="5"/>
    <x v="0"/>
  </r>
  <r>
    <n v="3377"/>
    <x v="145"/>
    <x v="2"/>
    <d v="2024-07-21T00:00:00"/>
    <x v="1"/>
    <n v="10"/>
    <x v="0"/>
    <s v="No"/>
    <x v="1"/>
    <s v="Yes"/>
    <n v="20"/>
    <n v="10"/>
    <x v="2"/>
  </r>
  <r>
    <n v="3378"/>
    <x v="146"/>
    <x v="1"/>
    <d v="2024-07-22T00:00:00"/>
    <x v="0"/>
    <n v="5"/>
    <x v="2"/>
    <s v="No"/>
    <x v="1"/>
    <s v="No"/>
    <n v="0"/>
    <n v="0"/>
    <x v="1"/>
  </r>
  <r>
    <n v="3379"/>
    <x v="147"/>
    <x v="0"/>
    <d v="2024-07-23T00:00:00"/>
    <x v="1"/>
    <n v="15"/>
    <x v="0"/>
    <s v="Yes"/>
    <x v="0"/>
    <s v="Yes"/>
    <n v="20"/>
    <n v="3"/>
    <x v="3"/>
  </r>
  <r>
    <n v="3380"/>
    <x v="148"/>
    <x v="2"/>
    <d v="2024-07-24T00:00:00"/>
    <x v="0"/>
    <n v="10"/>
    <x v="1"/>
    <s v="No"/>
    <x v="1"/>
    <s v="Yes"/>
    <n v="20"/>
    <n v="15"/>
    <x v="7"/>
  </r>
  <r>
    <n v="3381"/>
    <x v="149"/>
    <x v="1"/>
    <d v="2024-07-25T00:00:00"/>
    <x v="1"/>
    <n v="5"/>
    <x v="0"/>
    <s v="No"/>
    <x v="1"/>
    <s v="No"/>
    <n v="0"/>
    <n v="1"/>
    <x v="4"/>
  </r>
  <r>
    <n v="3382"/>
    <x v="150"/>
    <x v="0"/>
    <d v="2024-07-26T00:00:00"/>
    <x v="0"/>
    <n v="15"/>
    <x v="2"/>
    <s v="Yes"/>
    <x v="0"/>
    <s v="Yes"/>
    <n v="20"/>
    <n v="7"/>
    <x v="12"/>
  </r>
  <r>
    <n v="3383"/>
    <x v="151"/>
    <x v="2"/>
    <d v="2024-07-27T00:00:00"/>
    <x v="1"/>
    <n v="10"/>
    <x v="0"/>
    <s v="No"/>
    <x v="1"/>
    <s v="Yes"/>
    <n v="20"/>
    <n v="10"/>
    <x v="2"/>
  </r>
  <r>
    <n v="3384"/>
    <x v="152"/>
    <x v="1"/>
    <d v="2024-07-28T00:00:00"/>
    <x v="0"/>
    <n v="5"/>
    <x v="1"/>
    <s v="No"/>
    <x v="1"/>
    <s v="No"/>
    <n v="0"/>
    <n v="0"/>
    <x v="1"/>
  </r>
  <r>
    <n v="3385"/>
    <x v="153"/>
    <x v="0"/>
    <d v="2024-07-29T00:00:00"/>
    <x v="1"/>
    <n v="15"/>
    <x v="0"/>
    <s v="Yes"/>
    <x v="0"/>
    <s v="Yes"/>
    <n v="20"/>
    <n v="20"/>
    <x v="8"/>
  </r>
  <r>
    <n v="3386"/>
    <x v="154"/>
    <x v="2"/>
    <d v="2024-07-30T00:00:00"/>
    <x v="0"/>
    <n v="10"/>
    <x v="2"/>
    <s v="No"/>
    <x v="1"/>
    <s v="Yes"/>
    <n v="20"/>
    <n v="15"/>
    <x v="7"/>
  </r>
  <r>
    <n v="3387"/>
    <x v="155"/>
    <x v="1"/>
    <d v="2024-07-31T00:00:00"/>
    <x v="1"/>
    <n v="5"/>
    <x v="0"/>
    <s v="No"/>
    <x v="1"/>
    <s v="No"/>
    <n v="0"/>
    <n v="1"/>
    <x v="4"/>
  </r>
  <r>
    <n v="3388"/>
    <x v="156"/>
    <x v="0"/>
    <d v="2024-08-01T00:00:00"/>
    <x v="0"/>
    <n v="15"/>
    <x v="1"/>
    <s v="Yes"/>
    <x v="0"/>
    <s v="Yes"/>
    <n v="20"/>
    <n v="3"/>
    <x v="3"/>
  </r>
  <r>
    <n v="3389"/>
    <x v="157"/>
    <x v="2"/>
    <d v="2024-08-02T00:00:00"/>
    <x v="1"/>
    <n v="10"/>
    <x v="0"/>
    <s v="No"/>
    <x v="1"/>
    <s v="Yes"/>
    <n v="20"/>
    <n v="10"/>
    <x v="2"/>
  </r>
  <r>
    <n v="3390"/>
    <x v="158"/>
    <x v="1"/>
    <d v="2024-08-03T00:00:00"/>
    <x v="0"/>
    <n v="5"/>
    <x v="2"/>
    <s v="No"/>
    <x v="1"/>
    <s v="No"/>
    <n v="0"/>
    <n v="0"/>
    <x v="1"/>
  </r>
  <r>
    <n v="3391"/>
    <x v="58"/>
    <x v="0"/>
    <d v="2024-08-04T00:00:00"/>
    <x v="1"/>
    <n v="15"/>
    <x v="0"/>
    <s v="Yes"/>
    <x v="0"/>
    <s v="Yes"/>
    <n v="20"/>
    <n v="15"/>
    <x v="14"/>
  </r>
  <r>
    <n v="3392"/>
    <x v="159"/>
    <x v="2"/>
    <d v="2024-08-05T00:00:00"/>
    <x v="0"/>
    <n v="10"/>
    <x v="1"/>
    <s v="No"/>
    <x v="1"/>
    <s v="Yes"/>
    <n v="20"/>
    <n v="15"/>
    <x v="7"/>
  </r>
  <r>
    <n v="3393"/>
    <x v="160"/>
    <x v="1"/>
    <d v="2024-08-06T00:00:00"/>
    <x v="1"/>
    <n v="5"/>
    <x v="0"/>
    <s v="No"/>
    <x v="1"/>
    <s v="No"/>
    <n v="0"/>
    <n v="1"/>
    <x v="4"/>
  </r>
  <r>
    <n v="3394"/>
    <x v="161"/>
    <x v="0"/>
    <d v="2024-08-07T00:00:00"/>
    <x v="0"/>
    <n v="15"/>
    <x v="2"/>
    <s v="Yes"/>
    <x v="0"/>
    <s v="Yes"/>
    <n v="20"/>
    <n v="7"/>
    <x v="12"/>
  </r>
  <r>
    <n v="3395"/>
    <x v="162"/>
    <x v="2"/>
    <d v="2024-08-08T00:00:00"/>
    <x v="1"/>
    <n v="10"/>
    <x v="0"/>
    <s v="No"/>
    <x v="1"/>
    <s v="Yes"/>
    <n v="20"/>
    <n v="10"/>
    <x v="2"/>
  </r>
  <r>
    <n v="3396"/>
    <x v="163"/>
    <x v="1"/>
    <d v="2024-08-09T00:00:00"/>
    <x v="0"/>
    <n v="5"/>
    <x v="1"/>
    <s v="No"/>
    <x v="1"/>
    <s v="No"/>
    <n v="0"/>
    <n v="0"/>
    <x v="1"/>
  </r>
  <r>
    <n v="3397"/>
    <x v="90"/>
    <x v="0"/>
    <d v="2024-08-10T00:00:00"/>
    <x v="1"/>
    <n v="15"/>
    <x v="0"/>
    <s v="Yes"/>
    <x v="0"/>
    <s v="Yes"/>
    <n v="20"/>
    <n v="20"/>
    <x v="8"/>
  </r>
  <r>
    <n v="3398"/>
    <x v="164"/>
    <x v="2"/>
    <d v="2024-08-11T00:00:00"/>
    <x v="0"/>
    <n v="10"/>
    <x v="2"/>
    <s v="No"/>
    <x v="1"/>
    <s v="Yes"/>
    <n v="20"/>
    <n v="15"/>
    <x v="7"/>
  </r>
  <r>
    <n v="3399"/>
    <x v="165"/>
    <x v="1"/>
    <d v="2024-08-12T00:00:00"/>
    <x v="1"/>
    <n v="5"/>
    <x v="0"/>
    <s v="No"/>
    <x v="1"/>
    <s v="No"/>
    <n v="0"/>
    <n v="1"/>
    <x v="4"/>
  </r>
  <r>
    <n v="3400"/>
    <x v="166"/>
    <x v="0"/>
    <d v="2024-08-13T00:00:00"/>
    <x v="0"/>
    <n v="15"/>
    <x v="1"/>
    <s v="Yes"/>
    <x v="0"/>
    <s v="Yes"/>
    <n v="20"/>
    <n v="5"/>
    <x v="0"/>
  </r>
  <r>
    <n v="3401"/>
    <x v="167"/>
    <x v="2"/>
    <d v="2024-08-14T00:00:00"/>
    <x v="1"/>
    <n v="10"/>
    <x v="0"/>
    <s v="No"/>
    <x v="1"/>
    <s v="Yes"/>
    <n v="20"/>
    <n v="10"/>
    <x v="2"/>
  </r>
  <r>
    <n v="3402"/>
    <x v="168"/>
    <x v="1"/>
    <d v="2024-08-15T00:00:00"/>
    <x v="0"/>
    <n v="5"/>
    <x v="2"/>
    <s v="No"/>
    <x v="1"/>
    <s v="No"/>
    <n v="0"/>
    <n v="0"/>
    <x v="1"/>
  </r>
  <r>
    <n v="3403"/>
    <x v="169"/>
    <x v="0"/>
    <d v="2024-08-16T00:00:00"/>
    <x v="1"/>
    <n v="15"/>
    <x v="0"/>
    <s v="Yes"/>
    <x v="0"/>
    <s v="Yes"/>
    <n v="20"/>
    <n v="3"/>
    <x v="3"/>
  </r>
  <r>
    <n v="3404"/>
    <x v="170"/>
    <x v="2"/>
    <d v="2024-08-17T00:00:00"/>
    <x v="0"/>
    <n v="10"/>
    <x v="1"/>
    <s v="No"/>
    <x v="1"/>
    <s v="Yes"/>
    <n v="20"/>
    <n v="15"/>
    <x v="7"/>
  </r>
  <r>
    <n v="3405"/>
    <x v="171"/>
    <x v="1"/>
    <d v="2024-08-18T00:00:00"/>
    <x v="1"/>
    <n v="5"/>
    <x v="0"/>
    <s v="No"/>
    <x v="1"/>
    <s v="No"/>
    <n v="0"/>
    <n v="1"/>
    <x v="4"/>
  </r>
  <r>
    <n v="3406"/>
    <x v="172"/>
    <x v="1"/>
    <d v="2024-08-19T00:00:00"/>
    <x v="0"/>
    <n v="5"/>
    <x v="0"/>
    <s v="No"/>
    <x v="1"/>
    <s v="No"/>
    <n v="0"/>
    <n v="0"/>
    <x v="1"/>
  </r>
  <r>
    <n v="3407"/>
    <x v="173"/>
    <x v="0"/>
    <d v="2024-08-20T00:00:00"/>
    <x v="1"/>
    <n v="15"/>
    <x v="2"/>
    <s v="Yes"/>
    <x v="0"/>
    <s v="Yes"/>
    <n v="20"/>
    <n v="7"/>
    <x v="12"/>
  </r>
  <r>
    <n v="3408"/>
    <x v="174"/>
    <x v="2"/>
    <d v="2024-08-21T00:00:00"/>
    <x v="0"/>
    <n v="10"/>
    <x v="1"/>
    <s v="No"/>
    <x v="1"/>
    <s v="Yes"/>
    <n v="20"/>
    <n v="10"/>
    <x v="2"/>
  </r>
  <r>
    <n v="3409"/>
    <x v="175"/>
    <x v="1"/>
    <d v="2024-08-22T00:00:00"/>
    <x v="1"/>
    <n v="5"/>
    <x v="2"/>
    <s v="No"/>
    <x v="1"/>
    <s v="No"/>
    <n v="0"/>
    <n v="1"/>
    <x v="4"/>
  </r>
  <r>
    <n v="3410"/>
    <x v="176"/>
    <x v="0"/>
    <d v="2024-08-23T00:00:00"/>
    <x v="0"/>
    <n v="15"/>
    <x v="0"/>
    <s v="Yes"/>
    <x v="0"/>
    <s v="Yes"/>
    <n v="20"/>
    <n v="15"/>
    <x v="14"/>
  </r>
  <r>
    <n v="3411"/>
    <x v="177"/>
    <x v="2"/>
    <d v="2024-08-24T00:00:00"/>
    <x v="1"/>
    <n v="10"/>
    <x v="0"/>
    <s v="No"/>
    <x v="1"/>
    <s v="Yes"/>
    <n v="20"/>
    <n v="5"/>
    <x v="13"/>
  </r>
  <r>
    <n v="3412"/>
    <x v="178"/>
    <x v="1"/>
    <d v="2024-08-25T00:00:00"/>
    <x v="0"/>
    <n v="5"/>
    <x v="1"/>
    <s v="No"/>
    <x v="1"/>
    <s v="No"/>
    <n v="0"/>
    <n v="0"/>
    <x v="1"/>
  </r>
  <r>
    <n v="3413"/>
    <x v="179"/>
    <x v="0"/>
    <d v="2024-08-26T00:00:00"/>
    <x v="1"/>
    <n v="15"/>
    <x v="2"/>
    <s v="Yes"/>
    <x v="0"/>
    <s v="Yes"/>
    <n v="20"/>
    <n v="20"/>
    <x v="8"/>
  </r>
  <r>
    <n v="3414"/>
    <x v="180"/>
    <x v="2"/>
    <d v="2024-08-27T00:00:00"/>
    <x v="0"/>
    <n v="10"/>
    <x v="2"/>
    <s v="No"/>
    <x v="1"/>
    <s v="Yes"/>
    <n v="20"/>
    <n v="12"/>
    <x v="10"/>
  </r>
  <r>
    <n v="3415"/>
    <x v="181"/>
    <x v="1"/>
    <d v="2024-08-28T00:00:00"/>
    <x v="1"/>
    <n v="5"/>
    <x v="0"/>
    <s v="No"/>
    <x v="1"/>
    <s v="No"/>
    <n v="0"/>
    <n v="2"/>
    <x v="11"/>
  </r>
  <r>
    <n v="3416"/>
    <x v="182"/>
    <x v="0"/>
    <d v="2024-08-29T00:00:00"/>
    <x v="0"/>
    <n v="15"/>
    <x v="1"/>
    <s v="Yes"/>
    <x v="0"/>
    <s v="Yes"/>
    <n v="20"/>
    <n v="5"/>
    <x v="0"/>
  </r>
  <r>
    <n v="3417"/>
    <x v="183"/>
    <x v="2"/>
    <d v="2024-08-30T00:00:00"/>
    <x v="1"/>
    <n v="10"/>
    <x v="0"/>
    <s v="No"/>
    <x v="1"/>
    <s v="Yes"/>
    <n v="20"/>
    <n v="10"/>
    <x v="2"/>
  </r>
  <r>
    <n v="3418"/>
    <x v="184"/>
    <x v="1"/>
    <d v="2024-08-31T00:00:00"/>
    <x v="0"/>
    <n v="5"/>
    <x v="2"/>
    <s v="No"/>
    <x v="1"/>
    <s v="No"/>
    <n v="0"/>
    <n v="0"/>
    <x v="1"/>
  </r>
  <r>
    <n v="3419"/>
    <x v="185"/>
    <x v="0"/>
    <d v="2024-09-01T00:00:00"/>
    <x v="1"/>
    <n v="15"/>
    <x v="0"/>
    <s v="Yes"/>
    <x v="0"/>
    <s v="Yes"/>
    <n v="20"/>
    <n v="3"/>
    <x v="3"/>
  </r>
  <r>
    <n v="3420"/>
    <x v="186"/>
    <x v="2"/>
    <d v="2024-09-02T00:00:00"/>
    <x v="0"/>
    <n v="10"/>
    <x v="1"/>
    <s v="No"/>
    <x v="1"/>
    <s v="Yes"/>
    <n v="20"/>
    <n v="15"/>
    <x v="7"/>
  </r>
  <r>
    <n v="3421"/>
    <x v="15"/>
    <x v="1"/>
    <d v="2024-09-03T00:00:00"/>
    <x v="1"/>
    <n v="5"/>
    <x v="0"/>
    <s v="No"/>
    <x v="1"/>
    <s v="No"/>
    <n v="0"/>
    <n v="1"/>
    <x v="4"/>
  </r>
  <r>
    <n v="3422"/>
    <x v="187"/>
    <x v="0"/>
    <d v="2024-09-04T00:00:00"/>
    <x v="0"/>
    <n v="15"/>
    <x v="2"/>
    <s v="Yes"/>
    <x v="0"/>
    <s v="Yes"/>
    <n v="20"/>
    <n v="7"/>
    <x v="12"/>
  </r>
  <r>
    <n v="3423"/>
    <x v="188"/>
    <x v="2"/>
    <d v="2024-09-05T00:00:00"/>
    <x v="1"/>
    <n v="10"/>
    <x v="0"/>
    <s v="No"/>
    <x v="1"/>
    <s v="Yes"/>
    <n v="20"/>
    <n v="10"/>
    <x v="2"/>
  </r>
  <r>
    <n v="3424"/>
    <x v="14"/>
    <x v="1"/>
    <d v="2024-09-06T00:00:00"/>
    <x v="0"/>
    <n v="5"/>
    <x v="1"/>
    <s v="No"/>
    <x v="1"/>
    <s v="No"/>
    <n v="0"/>
    <n v="0"/>
    <x v="1"/>
  </r>
  <r>
    <n v="3425"/>
    <x v="189"/>
    <x v="0"/>
    <d v="2024-09-07T00:00:00"/>
    <x v="1"/>
    <n v="15"/>
    <x v="0"/>
    <s v="Yes"/>
    <x v="0"/>
    <s v="Yes"/>
    <n v="20"/>
    <n v="20"/>
    <x v="8"/>
  </r>
  <r>
    <n v="3426"/>
    <x v="167"/>
    <x v="2"/>
    <d v="2024-09-08T00:00:00"/>
    <x v="0"/>
    <n v="10"/>
    <x v="2"/>
    <s v="No"/>
    <x v="1"/>
    <s v="Yes"/>
    <n v="20"/>
    <n v="15"/>
    <x v="7"/>
  </r>
  <r>
    <n v="3427"/>
    <x v="190"/>
    <x v="1"/>
    <d v="2024-09-09T00:00:00"/>
    <x v="1"/>
    <n v="5"/>
    <x v="0"/>
    <s v="No"/>
    <x v="1"/>
    <s v="No"/>
    <n v="0"/>
    <n v="1"/>
    <x v="4"/>
  </r>
  <r>
    <n v="3428"/>
    <x v="191"/>
    <x v="0"/>
    <d v="2024-09-10T00:00:00"/>
    <x v="0"/>
    <n v="15"/>
    <x v="1"/>
    <s v="Yes"/>
    <x v="0"/>
    <s v="Yes"/>
    <n v="20"/>
    <n v="3"/>
    <x v="3"/>
  </r>
  <r>
    <n v="3429"/>
    <x v="192"/>
    <x v="2"/>
    <d v="2024-09-11T00:00:00"/>
    <x v="1"/>
    <n v="10"/>
    <x v="0"/>
    <s v="No"/>
    <x v="1"/>
    <s v="Yes"/>
    <n v="20"/>
    <n v="10"/>
    <x v="2"/>
  </r>
  <r>
    <n v="3430"/>
    <x v="193"/>
    <x v="1"/>
    <d v="2024-09-12T00:00:00"/>
    <x v="0"/>
    <n v="5"/>
    <x v="2"/>
    <s v="No"/>
    <x v="1"/>
    <s v="No"/>
    <n v="0"/>
    <n v="0"/>
    <x v="1"/>
  </r>
  <r>
    <n v="3431"/>
    <x v="194"/>
    <x v="0"/>
    <d v="2024-09-13T00:00:00"/>
    <x v="1"/>
    <n v="15"/>
    <x v="0"/>
    <s v="Yes"/>
    <x v="0"/>
    <s v="Yes"/>
    <n v="20"/>
    <n v="15"/>
    <x v="14"/>
  </r>
  <r>
    <n v="3432"/>
    <x v="195"/>
    <x v="2"/>
    <d v="2024-09-14T00:00:00"/>
    <x v="0"/>
    <n v="10"/>
    <x v="1"/>
    <s v="No"/>
    <x v="1"/>
    <s v="Yes"/>
    <n v="20"/>
    <n v="15"/>
    <x v="7"/>
  </r>
  <r>
    <n v="3433"/>
    <x v="196"/>
    <x v="1"/>
    <d v="2024-09-15T00:00:00"/>
    <x v="1"/>
    <n v="5"/>
    <x v="0"/>
    <s v="No"/>
    <x v="1"/>
    <s v="No"/>
    <n v="0"/>
    <n v="1"/>
    <x v="4"/>
  </r>
  <r>
    <n v="3434"/>
    <x v="197"/>
    <x v="0"/>
    <d v="2024-09-16T00:00:00"/>
    <x v="0"/>
    <n v="15"/>
    <x v="2"/>
    <s v="Yes"/>
    <x v="0"/>
    <s v="Yes"/>
    <n v="20"/>
    <n v="7"/>
    <x v="12"/>
  </r>
  <r>
    <n v="3435"/>
    <x v="198"/>
    <x v="2"/>
    <d v="2024-09-17T00:00:00"/>
    <x v="1"/>
    <n v="10"/>
    <x v="0"/>
    <s v="No"/>
    <x v="1"/>
    <s v="Yes"/>
    <n v="20"/>
    <n v="10"/>
    <x v="2"/>
  </r>
  <r>
    <n v="3436"/>
    <x v="199"/>
    <x v="1"/>
    <d v="2024-09-18T00:00:00"/>
    <x v="0"/>
    <n v="5"/>
    <x v="0"/>
    <s v="No"/>
    <x v="1"/>
    <s v="No"/>
    <n v="0"/>
    <n v="0"/>
    <x v="1"/>
  </r>
  <r>
    <n v="3437"/>
    <x v="200"/>
    <x v="0"/>
    <d v="2024-09-19T00:00:00"/>
    <x v="1"/>
    <n v="15"/>
    <x v="2"/>
    <s v="Yes"/>
    <x v="0"/>
    <s v="Yes"/>
    <n v="20"/>
    <n v="7"/>
    <x v="12"/>
  </r>
  <r>
    <n v="3438"/>
    <x v="201"/>
    <x v="2"/>
    <d v="2024-09-20T00:00:00"/>
    <x v="0"/>
    <n v="10"/>
    <x v="1"/>
    <s v="No"/>
    <x v="1"/>
    <s v="Yes"/>
    <n v="20"/>
    <n v="10"/>
    <x v="2"/>
  </r>
  <r>
    <n v="3439"/>
    <x v="202"/>
    <x v="1"/>
    <d v="2024-09-21T00:00:00"/>
    <x v="1"/>
    <n v="5"/>
    <x v="2"/>
    <s v="No"/>
    <x v="1"/>
    <s v="No"/>
    <n v="0"/>
    <n v="1"/>
    <x v="4"/>
  </r>
  <r>
    <n v="3440"/>
    <x v="203"/>
    <x v="0"/>
    <d v="2024-09-22T00:00:00"/>
    <x v="0"/>
    <n v="15"/>
    <x v="0"/>
    <s v="Yes"/>
    <x v="0"/>
    <s v="Yes"/>
    <n v="20"/>
    <n v="15"/>
    <x v="14"/>
  </r>
  <r>
    <n v="3441"/>
    <x v="204"/>
    <x v="2"/>
    <d v="2024-09-23T00:00:00"/>
    <x v="1"/>
    <n v="10"/>
    <x v="0"/>
    <s v="No"/>
    <x v="1"/>
    <s v="Yes"/>
    <n v="20"/>
    <n v="5"/>
    <x v="13"/>
  </r>
  <r>
    <n v="3442"/>
    <x v="205"/>
    <x v="1"/>
    <d v="2024-09-24T00:00:00"/>
    <x v="0"/>
    <n v="5"/>
    <x v="1"/>
    <s v="No"/>
    <x v="1"/>
    <s v="No"/>
    <n v="0"/>
    <n v="0"/>
    <x v="1"/>
  </r>
  <r>
    <n v="3443"/>
    <x v="206"/>
    <x v="0"/>
    <d v="2024-09-25T00:00:00"/>
    <x v="1"/>
    <n v="15"/>
    <x v="2"/>
    <s v="Yes"/>
    <x v="0"/>
    <s v="Yes"/>
    <n v="20"/>
    <n v="20"/>
    <x v="8"/>
  </r>
  <r>
    <n v="3444"/>
    <x v="207"/>
    <x v="2"/>
    <d v="2024-09-26T00:00:00"/>
    <x v="0"/>
    <n v="10"/>
    <x v="2"/>
    <s v="No"/>
    <x v="1"/>
    <s v="Yes"/>
    <n v="20"/>
    <n v="12"/>
    <x v="10"/>
  </r>
  <r>
    <n v="3445"/>
    <x v="37"/>
    <x v="1"/>
    <d v="2024-09-27T00:00:00"/>
    <x v="1"/>
    <n v="5"/>
    <x v="0"/>
    <s v="No"/>
    <x v="1"/>
    <s v="No"/>
    <n v="0"/>
    <n v="2"/>
    <x v="11"/>
  </r>
  <r>
    <n v="3446"/>
    <x v="208"/>
    <x v="0"/>
    <d v="2024-09-28T00:00:00"/>
    <x v="0"/>
    <n v="15"/>
    <x v="1"/>
    <s v="Yes"/>
    <x v="0"/>
    <s v="Yes"/>
    <n v="20"/>
    <n v="5"/>
    <x v="0"/>
  </r>
  <r>
    <n v="3447"/>
    <x v="209"/>
    <x v="2"/>
    <d v="2024-09-29T00:00:00"/>
    <x v="1"/>
    <n v="10"/>
    <x v="0"/>
    <s v="No"/>
    <x v="1"/>
    <s v="Yes"/>
    <n v="20"/>
    <n v="10"/>
    <x v="2"/>
  </r>
  <r>
    <n v="3448"/>
    <x v="210"/>
    <x v="1"/>
    <d v="2024-09-30T00:00:00"/>
    <x v="0"/>
    <n v="5"/>
    <x v="2"/>
    <s v="No"/>
    <x v="1"/>
    <s v="No"/>
    <n v="0"/>
    <n v="0"/>
    <x v="1"/>
  </r>
  <r>
    <n v="3449"/>
    <x v="211"/>
    <x v="0"/>
    <d v="2024-10-01T00:00:00"/>
    <x v="1"/>
    <n v="15"/>
    <x v="0"/>
    <s v="Yes"/>
    <x v="0"/>
    <s v="Yes"/>
    <n v="20"/>
    <n v="3"/>
    <x v="3"/>
  </r>
  <r>
    <n v="3450"/>
    <x v="212"/>
    <x v="2"/>
    <d v="2024-10-02T00:00:00"/>
    <x v="0"/>
    <n v="10"/>
    <x v="1"/>
    <s v="No"/>
    <x v="1"/>
    <s v="Yes"/>
    <n v="20"/>
    <n v="15"/>
    <x v="7"/>
  </r>
  <r>
    <n v="3451"/>
    <x v="213"/>
    <x v="1"/>
    <d v="2024-10-03T00:00:00"/>
    <x v="1"/>
    <n v="5"/>
    <x v="0"/>
    <s v="No"/>
    <x v="1"/>
    <s v="No"/>
    <n v="0"/>
    <n v="1"/>
    <x v="4"/>
  </r>
  <r>
    <n v="3452"/>
    <x v="191"/>
    <x v="0"/>
    <d v="2024-10-04T00:00:00"/>
    <x v="0"/>
    <n v="15"/>
    <x v="2"/>
    <s v="Yes"/>
    <x v="0"/>
    <s v="Yes"/>
    <n v="20"/>
    <n v="7"/>
    <x v="12"/>
  </r>
  <r>
    <n v="3453"/>
    <x v="45"/>
    <x v="2"/>
    <d v="2024-10-05T00:00:00"/>
    <x v="1"/>
    <n v="10"/>
    <x v="0"/>
    <s v="No"/>
    <x v="1"/>
    <s v="Yes"/>
    <n v="20"/>
    <n v="10"/>
    <x v="2"/>
  </r>
  <r>
    <n v="3454"/>
    <x v="214"/>
    <x v="1"/>
    <d v="2024-10-06T00:00:00"/>
    <x v="0"/>
    <n v="5"/>
    <x v="1"/>
    <s v="No"/>
    <x v="1"/>
    <s v="No"/>
    <n v="0"/>
    <n v="0"/>
    <x v="1"/>
  </r>
  <r>
    <n v="3455"/>
    <x v="215"/>
    <x v="0"/>
    <d v="2024-10-07T00:00:00"/>
    <x v="1"/>
    <n v="15"/>
    <x v="0"/>
    <s v="Yes"/>
    <x v="0"/>
    <s v="Yes"/>
    <n v="20"/>
    <n v="20"/>
    <x v="8"/>
  </r>
  <r>
    <n v="3456"/>
    <x v="216"/>
    <x v="2"/>
    <d v="2024-10-08T00:00:00"/>
    <x v="0"/>
    <n v="10"/>
    <x v="2"/>
    <s v="No"/>
    <x v="1"/>
    <s v="Yes"/>
    <n v="20"/>
    <n v="15"/>
    <x v="7"/>
  </r>
  <r>
    <n v="3457"/>
    <x v="217"/>
    <x v="1"/>
    <d v="2024-10-09T00:00:00"/>
    <x v="1"/>
    <n v="5"/>
    <x v="0"/>
    <s v="No"/>
    <x v="1"/>
    <s v="No"/>
    <n v="0"/>
    <n v="1"/>
    <x v="4"/>
  </r>
  <r>
    <n v="3458"/>
    <x v="218"/>
    <x v="0"/>
    <d v="2024-10-10T00:00:00"/>
    <x v="0"/>
    <n v="15"/>
    <x v="1"/>
    <s v="Yes"/>
    <x v="0"/>
    <s v="Yes"/>
    <n v="20"/>
    <n v="3"/>
    <x v="3"/>
  </r>
  <r>
    <n v="3459"/>
    <x v="219"/>
    <x v="2"/>
    <d v="2024-10-11T00:00:00"/>
    <x v="1"/>
    <n v="10"/>
    <x v="0"/>
    <s v="No"/>
    <x v="1"/>
    <s v="Yes"/>
    <n v="20"/>
    <n v="10"/>
    <x v="2"/>
  </r>
  <r>
    <n v="3460"/>
    <x v="127"/>
    <x v="1"/>
    <d v="2024-10-12T00:00:00"/>
    <x v="0"/>
    <n v="5"/>
    <x v="2"/>
    <s v="No"/>
    <x v="1"/>
    <s v="No"/>
    <n v="0"/>
    <n v="0"/>
    <x v="1"/>
  </r>
  <r>
    <n v="3461"/>
    <x v="220"/>
    <x v="0"/>
    <d v="2024-10-13T00:00:00"/>
    <x v="1"/>
    <n v="15"/>
    <x v="0"/>
    <s v="Yes"/>
    <x v="0"/>
    <s v="Yes"/>
    <n v="20"/>
    <n v="15"/>
    <x v="14"/>
  </r>
  <r>
    <n v="3462"/>
    <x v="221"/>
    <x v="2"/>
    <d v="2024-10-14T00:00:00"/>
    <x v="0"/>
    <n v="10"/>
    <x v="1"/>
    <s v="No"/>
    <x v="1"/>
    <s v="Yes"/>
    <n v="20"/>
    <n v="15"/>
    <x v="7"/>
  </r>
  <r>
    <n v="3463"/>
    <x v="222"/>
    <x v="1"/>
    <d v="2024-10-15T00:00:00"/>
    <x v="1"/>
    <n v="5"/>
    <x v="0"/>
    <s v="No"/>
    <x v="1"/>
    <s v="No"/>
    <n v="0"/>
    <n v="1"/>
    <x v="4"/>
  </r>
  <r>
    <n v="3464"/>
    <x v="223"/>
    <x v="0"/>
    <d v="2024-10-16T00:00:00"/>
    <x v="0"/>
    <n v="15"/>
    <x v="2"/>
    <s v="Yes"/>
    <x v="0"/>
    <s v="Yes"/>
    <n v="20"/>
    <n v="7"/>
    <x v="12"/>
  </r>
  <r>
    <n v="3465"/>
    <x v="224"/>
    <x v="2"/>
    <d v="2024-10-17T00:00:00"/>
    <x v="1"/>
    <n v="10"/>
    <x v="0"/>
    <s v="No"/>
    <x v="1"/>
    <s v="Yes"/>
    <n v="20"/>
    <n v="10"/>
    <x v="2"/>
  </r>
  <r>
    <n v="3466"/>
    <x v="225"/>
    <x v="1"/>
    <d v="2024-10-18T00:00:00"/>
    <x v="0"/>
    <n v="5"/>
    <x v="1"/>
    <s v="No"/>
    <x v="1"/>
    <s v="No"/>
    <n v="0"/>
    <n v="0"/>
    <x v="1"/>
  </r>
  <r>
    <n v="3467"/>
    <x v="226"/>
    <x v="0"/>
    <d v="2024-10-19T00:00:00"/>
    <x v="1"/>
    <n v="15"/>
    <x v="0"/>
    <s v="Yes"/>
    <x v="0"/>
    <s v="Yes"/>
    <n v="20"/>
    <n v="15"/>
    <x v="14"/>
  </r>
  <r>
    <n v="3468"/>
    <x v="227"/>
    <x v="2"/>
    <d v="2024-10-20T00:00:00"/>
    <x v="0"/>
    <n v="10"/>
    <x v="2"/>
    <s v="No"/>
    <x v="1"/>
    <s v="Yes"/>
    <n v="20"/>
    <n v="12"/>
    <x v="10"/>
  </r>
  <r>
    <n v="3469"/>
    <x v="228"/>
    <x v="1"/>
    <d v="2024-10-21T00:00:00"/>
    <x v="1"/>
    <n v="5"/>
    <x v="0"/>
    <s v="No"/>
    <x v="1"/>
    <s v="No"/>
    <n v="0"/>
    <n v="2"/>
    <x v="11"/>
  </r>
  <r>
    <n v="3470"/>
    <x v="229"/>
    <x v="0"/>
    <d v="2024-10-22T00:00:00"/>
    <x v="0"/>
    <n v="15"/>
    <x v="1"/>
    <s v="Yes"/>
    <x v="0"/>
    <s v="Yes"/>
    <n v="20"/>
    <n v="5"/>
    <x v="0"/>
  </r>
  <r>
    <n v="3471"/>
    <x v="230"/>
    <x v="2"/>
    <d v="2024-10-23T00:00:00"/>
    <x v="1"/>
    <n v="10"/>
    <x v="0"/>
    <s v="No"/>
    <x v="1"/>
    <s v="Yes"/>
    <n v="20"/>
    <n v="10"/>
    <x v="2"/>
  </r>
  <r>
    <n v="3472"/>
    <x v="231"/>
    <x v="1"/>
    <d v="2024-10-24T00:00:00"/>
    <x v="0"/>
    <n v="5"/>
    <x v="2"/>
    <s v="No"/>
    <x v="1"/>
    <s v="No"/>
    <n v="0"/>
    <n v="0"/>
    <x v="1"/>
  </r>
  <r>
    <n v="3473"/>
    <x v="140"/>
    <x v="0"/>
    <d v="2024-10-25T00:00:00"/>
    <x v="1"/>
    <n v="15"/>
    <x v="0"/>
    <s v="Yes"/>
    <x v="0"/>
    <s v="Yes"/>
    <n v="20"/>
    <n v="3"/>
    <x v="3"/>
  </r>
  <r>
    <n v="3474"/>
    <x v="232"/>
    <x v="2"/>
    <d v="2024-10-26T00:00:00"/>
    <x v="0"/>
    <n v="10"/>
    <x v="1"/>
    <s v="No"/>
    <x v="1"/>
    <s v="Yes"/>
    <n v="20"/>
    <n v="15"/>
    <x v="7"/>
  </r>
  <r>
    <n v="3475"/>
    <x v="233"/>
    <x v="1"/>
    <d v="2024-10-27T00:00:00"/>
    <x v="1"/>
    <n v="5"/>
    <x v="0"/>
    <s v="No"/>
    <x v="1"/>
    <s v="No"/>
    <n v="0"/>
    <n v="1"/>
    <x v="4"/>
  </r>
  <r>
    <n v="3476"/>
    <x v="234"/>
    <x v="0"/>
    <d v="2024-10-28T00:00:00"/>
    <x v="0"/>
    <n v="15"/>
    <x v="2"/>
    <s v="Yes"/>
    <x v="0"/>
    <s v="Yes"/>
    <n v="20"/>
    <n v="7"/>
    <x v="12"/>
  </r>
  <r>
    <n v="3477"/>
    <x v="235"/>
    <x v="2"/>
    <d v="2024-10-29T00:00:00"/>
    <x v="1"/>
    <n v="10"/>
    <x v="0"/>
    <s v="No"/>
    <x v="1"/>
    <s v="Yes"/>
    <n v="20"/>
    <n v="10"/>
    <x v="2"/>
  </r>
  <r>
    <n v="3478"/>
    <x v="236"/>
    <x v="1"/>
    <d v="2024-10-30T00:00:00"/>
    <x v="0"/>
    <n v="5"/>
    <x v="1"/>
    <s v="No"/>
    <x v="1"/>
    <s v="No"/>
    <n v="0"/>
    <n v="0"/>
    <x v="1"/>
  </r>
  <r>
    <n v="3479"/>
    <x v="237"/>
    <x v="0"/>
    <d v="2024-10-31T00:00:00"/>
    <x v="1"/>
    <n v="15"/>
    <x v="0"/>
    <s v="Yes"/>
    <x v="0"/>
    <s v="Yes"/>
    <n v="20"/>
    <n v="20"/>
    <x v="8"/>
  </r>
  <r>
    <n v="3480"/>
    <x v="238"/>
    <x v="2"/>
    <d v="2024-11-01T00:00:00"/>
    <x v="0"/>
    <n v="10"/>
    <x v="2"/>
    <s v="No"/>
    <x v="1"/>
    <s v="Yes"/>
    <n v="20"/>
    <n v="15"/>
    <x v="7"/>
  </r>
  <r>
    <n v="3481"/>
    <x v="239"/>
    <x v="1"/>
    <d v="2024-11-02T00:00:00"/>
    <x v="1"/>
    <n v="5"/>
    <x v="0"/>
    <s v="No"/>
    <x v="1"/>
    <s v="No"/>
    <n v="0"/>
    <n v="1"/>
    <x v="4"/>
  </r>
  <r>
    <n v="3482"/>
    <x v="240"/>
    <x v="0"/>
    <d v="2024-11-03T00:00:00"/>
    <x v="0"/>
    <n v="15"/>
    <x v="1"/>
    <s v="Yes"/>
    <x v="0"/>
    <s v="Yes"/>
    <n v="20"/>
    <n v="3"/>
    <x v="3"/>
  </r>
  <r>
    <n v="3483"/>
    <x v="241"/>
    <x v="2"/>
    <d v="2024-11-04T00:00:00"/>
    <x v="1"/>
    <n v="10"/>
    <x v="0"/>
    <s v="No"/>
    <x v="1"/>
    <s v="Yes"/>
    <n v="20"/>
    <n v="10"/>
    <x v="2"/>
  </r>
  <r>
    <n v="3484"/>
    <x v="242"/>
    <x v="1"/>
    <d v="2024-11-05T00:00:00"/>
    <x v="0"/>
    <n v="5"/>
    <x v="2"/>
    <s v="No"/>
    <x v="1"/>
    <s v="No"/>
    <n v="0"/>
    <n v="0"/>
    <x v="1"/>
  </r>
  <r>
    <n v="3485"/>
    <x v="243"/>
    <x v="0"/>
    <d v="2024-11-06T00:00:00"/>
    <x v="1"/>
    <n v="15"/>
    <x v="0"/>
    <s v="Yes"/>
    <x v="0"/>
    <s v="Yes"/>
    <n v="20"/>
    <n v="15"/>
    <x v="14"/>
  </r>
  <r>
    <n v="3486"/>
    <x v="244"/>
    <x v="1"/>
    <d v="2024-11-07T00:00:00"/>
    <x v="0"/>
    <n v="5"/>
    <x v="0"/>
    <s v="No"/>
    <x v="1"/>
    <s v="No"/>
    <n v="0"/>
    <n v="0"/>
    <x v="1"/>
  </r>
  <r>
    <n v="3487"/>
    <x v="245"/>
    <x v="0"/>
    <d v="2024-11-08T00:00:00"/>
    <x v="1"/>
    <n v="15"/>
    <x v="2"/>
    <s v="Yes"/>
    <x v="0"/>
    <s v="Yes"/>
    <n v="20"/>
    <n v="7"/>
    <x v="12"/>
  </r>
  <r>
    <n v="3488"/>
    <x v="246"/>
    <x v="2"/>
    <d v="2024-11-09T00:00:00"/>
    <x v="0"/>
    <n v="10"/>
    <x v="1"/>
    <s v="No"/>
    <x v="1"/>
    <s v="Yes"/>
    <n v="20"/>
    <n v="10"/>
    <x v="2"/>
  </r>
  <r>
    <n v="3489"/>
    <x v="247"/>
    <x v="1"/>
    <d v="2024-11-10T00:00:00"/>
    <x v="1"/>
    <n v="5"/>
    <x v="2"/>
    <s v="No"/>
    <x v="1"/>
    <s v="No"/>
    <n v="0"/>
    <n v="1"/>
    <x v="4"/>
  </r>
  <r>
    <n v="3490"/>
    <x v="248"/>
    <x v="0"/>
    <d v="2024-11-11T00:00:00"/>
    <x v="0"/>
    <n v="15"/>
    <x v="0"/>
    <s v="Yes"/>
    <x v="0"/>
    <s v="Yes"/>
    <n v="20"/>
    <n v="15"/>
    <x v="14"/>
  </r>
  <r>
    <n v="3491"/>
    <x v="249"/>
    <x v="2"/>
    <d v="2024-11-12T00:00:00"/>
    <x v="1"/>
    <n v="10"/>
    <x v="0"/>
    <s v="No"/>
    <x v="1"/>
    <s v="Yes"/>
    <n v="20"/>
    <n v="5"/>
    <x v="13"/>
  </r>
  <r>
    <n v="3492"/>
    <x v="250"/>
    <x v="1"/>
    <d v="2024-11-13T00:00:00"/>
    <x v="0"/>
    <n v="5"/>
    <x v="1"/>
    <s v="No"/>
    <x v="1"/>
    <s v="No"/>
    <n v="0"/>
    <n v="0"/>
    <x v="1"/>
  </r>
  <r>
    <n v="3493"/>
    <x v="251"/>
    <x v="0"/>
    <d v="2024-11-14T00:00:00"/>
    <x v="1"/>
    <n v="15"/>
    <x v="2"/>
    <s v="Yes"/>
    <x v="0"/>
    <s v="Yes"/>
    <n v="20"/>
    <n v="20"/>
    <x v="8"/>
  </r>
  <r>
    <n v="3494"/>
    <x v="252"/>
    <x v="2"/>
    <d v="2024-11-15T00:00:00"/>
    <x v="0"/>
    <n v="10"/>
    <x v="2"/>
    <s v="No"/>
    <x v="1"/>
    <s v="Yes"/>
    <n v="20"/>
    <n v="12"/>
    <x v="10"/>
  </r>
  <r>
    <n v="3495"/>
    <x v="253"/>
    <x v="1"/>
    <d v="2024-11-16T00:00:00"/>
    <x v="1"/>
    <n v="5"/>
    <x v="0"/>
    <s v="No"/>
    <x v="1"/>
    <s v="No"/>
    <n v="0"/>
    <n v="2"/>
    <x v="11"/>
  </r>
  <r>
    <n v="3496"/>
    <x v="254"/>
    <x v="0"/>
    <d v="2024-11-17T00:00:00"/>
    <x v="0"/>
    <n v="15"/>
    <x v="1"/>
    <s v="Yes"/>
    <x v="0"/>
    <s v="Yes"/>
    <n v="20"/>
    <n v="5"/>
    <x v="0"/>
  </r>
  <r>
    <n v="3497"/>
    <x v="255"/>
    <x v="2"/>
    <d v="2024-11-18T00:00:00"/>
    <x v="1"/>
    <n v="10"/>
    <x v="0"/>
    <s v="No"/>
    <x v="1"/>
    <s v="Yes"/>
    <n v="20"/>
    <n v="10"/>
    <x v="2"/>
  </r>
  <r>
    <n v="3498"/>
    <x v="256"/>
    <x v="1"/>
    <d v="2024-11-19T00:00:00"/>
    <x v="0"/>
    <n v="5"/>
    <x v="2"/>
    <s v="No"/>
    <x v="1"/>
    <s v="No"/>
    <n v="0"/>
    <n v="0"/>
    <x v="1"/>
  </r>
  <r>
    <n v="3499"/>
    <x v="257"/>
    <x v="0"/>
    <d v="2024-11-20T00:00:00"/>
    <x v="1"/>
    <n v="15"/>
    <x v="0"/>
    <s v="Yes"/>
    <x v="0"/>
    <s v="Yes"/>
    <n v="20"/>
    <n v="3"/>
    <x v="3"/>
  </r>
  <r>
    <n v="3500"/>
    <x v="258"/>
    <x v="2"/>
    <d v="2024-11-21T00:00:00"/>
    <x v="0"/>
    <n v="10"/>
    <x v="1"/>
    <s v="No"/>
    <x v="1"/>
    <s v="Yes"/>
    <n v="20"/>
    <n v="15"/>
    <x v="7"/>
  </r>
  <r>
    <n v="3501"/>
    <x v="259"/>
    <x v="1"/>
    <d v="2024-11-22T00:00:00"/>
    <x v="1"/>
    <n v="5"/>
    <x v="0"/>
    <s v="No"/>
    <x v="1"/>
    <s v="No"/>
    <n v="0"/>
    <n v="1"/>
    <x v="4"/>
  </r>
  <r>
    <n v="3502"/>
    <x v="260"/>
    <x v="0"/>
    <d v="2024-11-23T00:00:00"/>
    <x v="0"/>
    <n v="15"/>
    <x v="2"/>
    <s v="Yes"/>
    <x v="0"/>
    <s v="Yes"/>
    <n v="20"/>
    <n v="7"/>
    <x v="12"/>
  </r>
  <r>
    <n v="3503"/>
    <x v="119"/>
    <x v="2"/>
    <d v="2024-11-24T00:00:00"/>
    <x v="1"/>
    <n v="10"/>
    <x v="0"/>
    <s v="No"/>
    <x v="1"/>
    <s v="Yes"/>
    <n v="20"/>
    <n v="10"/>
    <x v="2"/>
  </r>
  <r>
    <n v="3504"/>
    <x v="261"/>
    <x v="1"/>
    <d v="2024-11-25T00:00:00"/>
    <x v="0"/>
    <n v="5"/>
    <x v="1"/>
    <s v="No"/>
    <x v="1"/>
    <s v="No"/>
    <n v="0"/>
    <n v="0"/>
    <x v="1"/>
  </r>
  <r>
    <n v="3505"/>
    <x v="262"/>
    <x v="0"/>
    <d v="2024-11-26T00:00:00"/>
    <x v="1"/>
    <n v="15"/>
    <x v="0"/>
    <s v="Yes"/>
    <x v="0"/>
    <s v="Yes"/>
    <n v="20"/>
    <n v="20"/>
    <x v="8"/>
  </r>
  <r>
    <n v="3506"/>
    <x v="263"/>
    <x v="2"/>
    <d v="2024-11-27T00:00:00"/>
    <x v="0"/>
    <n v="10"/>
    <x v="2"/>
    <s v="No"/>
    <x v="1"/>
    <s v="Yes"/>
    <n v="20"/>
    <n v="15"/>
    <x v="7"/>
  </r>
  <r>
    <n v="3507"/>
    <x v="264"/>
    <x v="1"/>
    <d v="2024-11-28T00:00:00"/>
    <x v="1"/>
    <n v="5"/>
    <x v="0"/>
    <s v="No"/>
    <x v="1"/>
    <s v="No"/>
    <n v="0"/>
    <n v="1"/>
    <x v="4"/>
  </r>
  <r>
    <n v="3508"/>
    <x v="265"/>
    <x v="0"/>
    <d v="2024-11-29T00:00:00"/>
    <x v="0"/>
    <n v="15"/>
    <x v="1"/>
    <s v="Yes"/>
    <x v="0"/>
    <s v="Yes"/>
    <n v="20"/>
    <n v="3"/>
    <x v="3"/>
  </r>
  <r>
    <n v="3509"/>
    <x v="266"/>
    <x v="2"/>
    <d v="2024-11-30T00:00:00"/>
    <x v="1"/>
    <n v="10"/>
    <x v="0"/>
    <s v="No"/>
    <x v="1"/>
    <s v="Yes"/>
    <n v="20"/>
    <n v="10"/>
    <x v="2"/>
  </r>
  <r>
    <n v="3510"/>
    <x v="267"/>
    <x v="1"/>
    <d v="2024-12-01T00:00:00"/>
    <x v="0"/>
    <n v="5"/>
    <x v="2"/>
    <s v="No"/>
    <x v="1"/>
    <s v="No"/>
    <n v="0"/>
    <n v="0"/>
    <x v="1"/>
  </r>
  <r>
    <n v="3511"/>
    <x v="268"/>
    <x v="0"/>
    <d v="2024-12-02T00:00:00"/>
    <x v="1"/>
    <n v="15"/>
    <x v="0"/>
    <s v="Yes"/>
    <x v="0"/>
    <s v="Yes"/>
    <n v="20"/>
    <n v="15"/>
    <x v="14"/>
  </r>
  <r>
    <n v="3512"/>
    <x v="269"/>
    <x v="2"/>
    <d v="2024-12-03T00:00:00"/>
    <x v="0"/>
    <n v="10"/>
    <x v="1"/>
    <s v="No"/>
    <x v="1"/>
    <s v="Yes"/>
    <n v="20"/>
    <n v="15"/>
    <x v="7"/>
  </r>
  <r>
    <n v="3513"/>
    <x v="270"/>
    <x v="1"/>
    <d v="2024-12-04T00:00:00"/>
    <x v="1"/>
    <n v="5"/>
    <x v="0"/>
    <s v="No"/>
    <x v="1"/>
    <s v="No"/>
    <n v="0"/>
    <n v="1"/>
    <x v="4"/>
  </r>
  <r>
    <n v="3514"/>
    <x v="271"/>
    <x v="0"/>
    <d v="2024-12-05T00:00:00"/>
    <x v="0"/>
    <n v="15"/>
    <x v="2"/>
    <s v="Yes"/>
    <x v="0"/>
    <s v="Yes"/>
    <n v="20"/>
    <n v="7"/>
    <x v="12"/>
  </r>
  <r>
    <n v="3515"/>
    <x v="130"/>
    <x v="2"/>
    <d v="2024-12-06T00:00:00"/>
    <x v="1"/>
    <n v="10"/>
    <x v="0"/>
    <s v="No"/>
    <x v="1"/>
    <s v="Yes"/>
    <n v="20"/>
    <n v="10"/>
    <x v="2"/>
  </r>
  <r>
    <n v="3516"/>
    <x v="131"/>
    <x v="1"/>
    <d v="2024-12-07T00:00:00"/>
    <x v="0"/>
    <n v="5"/>
    <x v="1"/>
    <s v="No"/>
    <x v="1"/>
    <s v="No"/>
    <n v="0"/>
    <n v="0"/>
    <x v="1"/>
  </r>
  <r>
    <n v="3517"/>
    <x v="181"/>
    <x v="0"/>
    <d v="2024-12-08T00:00:00"/>
    <x v="1"/>
    <n v="15"/>
    <x v="0"/>
    <s v="Yes"/>
    <x v="0"/>
    <s v="Yes"/>
    <n v="20"/>
    <n v="20"/>
    <x v="8"/>
  </r>
  <r>
    <n v="3518"/>
    <x v="272"/>
    <x v="2"/>
    <d v="2024-12-09T00:00:00"/>
    <x v="0"/>
    <n v="10"/>
    <x v="2"/>
    <s v="No"/>
    <x v="1"/>
    <s v="Yes"/>
    <n v="20"/>
    <n v="12"/>
    <x v="10"/>
  </r>
  <r>
    <n v="3519"/>
    <x v="273"/>
    <x v="1"/>
    <d v="2024-12-10T00:00:00"/>
    <x v="1"/>
    <n v="5"/>
    <x v="0"/>
    <s v="No"/>
    <x v="1"/>
    <s v="No"/>
    <n v="0"/>
    <n v="2"/>
    <x v="11"/>
  </r>
  <r>
    <n v="3520"/>
    <x v="274"/>
    <x v="0"/>
    <d v="2024-12-11T00:00:00"/>
    <x v="0"/>
    <n v="15"/>
    <x v="1"/>
    <s v="Yes"/>
    <x v="0"/>
    <s v="Yes"/>
    <n v="20"/>
    <n v="5"/>
    <x v="0"/>
  </r>
  <r>
    <n v="3521"/>
    <x v="275"/>
    <x v="2"/>
    <d v="2024-12-12T00:00:00"/>
    <x v="1"/>
    <n v="10"/>
    <x v="0"/>
    <s v="No"/>
    <x v="1"/>
    <s v="Yes"/>
    <n v="20"/>
    <n v="10"/>
    <x v="2"/>
  </r>
  <r>
    <n v="3522"/>
    <x v="276"/>
    <x v="1"/>
    <d v="2024-12-13T00:00:00"/>
    <x v="0"/>
    <n v="5"/>
    <x v="2"/>
    <s v="No"/>
    <x v="1"/>
    <s v="No"/>
    <n v="0"/>
    <n v="0"/>
    <x v="1"/>
  </r>
  <r>
    <n v="3523"/>
    <x v="277"/>
    <x v="0"/>
    <d v="2024-12-14T00:00:00"/>
    <x v="1"/>
    <n v="15"/>
    <x v="0"/>
    <s v="Yes"/>
    <x v="0"/>
    <s v="Yes"/>
    <n v="20"/>
    <n v="3"/>
    <x v="3"/>
  </r>
  <r>
    <n v="3524"/>
    <x v="278"/>
    <x v="2"/>
    <d v="2024-12-15T00:00:00"/>
    <x v="0"/>
    <n v="10"/>
    <x v="1"/>
    <s v="No"/>
    <x v="1"/>
    <s v="Yes"/>
    <n v="20"/>
    <n v="15"/>
    <x v="7"/>
  </r>
  <r>
    <n v="3525"/>
    <x v="279"/>
    <x v="1"/>
    <d v="2024-12-16T00:00:00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906E8-6AF5-46E6-B4D4-3C489A4A9277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4:C2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182A3-9947-441E-BBF9-BB321E3ADE4C}" name="tbl_ea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3:C1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165F7-B459-4876-8D8B-B30822A9A3B6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4:C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2">
    <format dxfId="41">
      <pivotArea grandRow="1" outline="0" collapsedLevelsAreSubtotals="1" fieldPosition="0"/>
    </format>
    <format dxfId="40">
      <pivotArea collapsedLevelsAreSubtotals="1" fieldPosition="0">
        <references count="1">
          <reference field="4" count="0"/>
        </references>
      </pivotArea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B86E392-9892-48A2-9881-FB32049A2499}" sourceName="Subscription Type">
  <pivotTables>
    <pivotTable tabId="3" name="tbl_annual_total"/>
    <pivotTable tabId="3" name="tbl_easeasonpass_total"/>
    <pivotTable tabId="3" name="Tabela dinâmica2"/>
  </pivotTables>
  <data>
    <tabular pivotCacheId="115200091">
      <items count="3">
        <i x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DEA2DE5-D286-45D5-9692-45DB5DD96CC5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57">
  <autoFilter ref="A1:M296" xr:uid="{34E0E886-4200-4B36-97B3-63DB74FF40A0}"/>
  <tableColumns count="13">
    <tableColumn id="1" xr3:uid="{C4A90516-688A-46BF-9167-EA16C2A8A652}" name="Subscriber ID" dataDxfId="56"/>
    <tableColumn id="2" xr3:uid="{53DD39D0-2220-4121-9E9D-4EAA7E151C0F}" name="Name" dataDxfId="55"/>
    <tableColumn id="3" xr3:uid="{4F5FF271-4C57-4BE0-8F2C-F82C8551625C}" name="Plan" dataDxfId="54"/>
    <tableColumn id="4" xr3:uid="{8C17EB93-79B9-4E55-B8F7-BEB82F8253E9}" name="Start Date" dataDxfId="53"/>
    <tableColumn id="5" xr3:uid="{48CEDF9B-1689-482A-A828-5CCE7713264A}" name="Auto Renewal" dataDxfId="44"/>
    <tableColumn id="6" xr3:uid="{78B82374-9AA7-4E38-AE4F-78CDE6C83720}" name="Subscription Price" dataDxfId="42" dataCellStyle="Moeda"/>
    <tableColumn id="7" xr3:uid="{F2433F68-AF33-49D0-B1FB-19A396074EDE}" name="Subscription Type" dataDxfId="43"/>
    <tableColumn id="8" xr3:uid="{FD4D9C95-F6E5-4933-9068-A71FF7DF9343}" name="EA Play Season Pass" dataDxfId="52"/>
    <tableColumn id="13" xr3:uid="{978DD0D2-834E-4CE4-A39B-30976086932F}" name="EA Play Season Pass_x000a_Price" dataDxfId="51" dataCellStyle="Moeda"/>
    <tableColumn id="9" xr3:uid="{6E29F111-C395-4580-9DAD-3407D9E8B1A4}" name="Minecraft Season Pass" dataDxfId="50"/>
    <tableColumn id="10" xr3:uid="{EF544EAA-7F25-4FD5-A10E-8E62804DB9E3}" name="Minecraft Season Pass Price" dataDxfId="49" dataCellStyle="Moeda"/>
    <tableColumn id="11" xr3:uid="{7F6EB64A-1F07-4E48-9F0F-AC7D9DCD26F8}" name="Coupon Value" dataDxfId="48" dataCellStyle="Moeda"/>
    <tableColumn id="12" xr3:uid="{2B04ABC8-DE6F-426E-ADC0-D8AFC68CA58E}" name="Total Value" dataDxfId="4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="90" zoomScaleNormal="90" workbookViewId="0">
      <selection activeCell="F1" sqref="F1:F104857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style="21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1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20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20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20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20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20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20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20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20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20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20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20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20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20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20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20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20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20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20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20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20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20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20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20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20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20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20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20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20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20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20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20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20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20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20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20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20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20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20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20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20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20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20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20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20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20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20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20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20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20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20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20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20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20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20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20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20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20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20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20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20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20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20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20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20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20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20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20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20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20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20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20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20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20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20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20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20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20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20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20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20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20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20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20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20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20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20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20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20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20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20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20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20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20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20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20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20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20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20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20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20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20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20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20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20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20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20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20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20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20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20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20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20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20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20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20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20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20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20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20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20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20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20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20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20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20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20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20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20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20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20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20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20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20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20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20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20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20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20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20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20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20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20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20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20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20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20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20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20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20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20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20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20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20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20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20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20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20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20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20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20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20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20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20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20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20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20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20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20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20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20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20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20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20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20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20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20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20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20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20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20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20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20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20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20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20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20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20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20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20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20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20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20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20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20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20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20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20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20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20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20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20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20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20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20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20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20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20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20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20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20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20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20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20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20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20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20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20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20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20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20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20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20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20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20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20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20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20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20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20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20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20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20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20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20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20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20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20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20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20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20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20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20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20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20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20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20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20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20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20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20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20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20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20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20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20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20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20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20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20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20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20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20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20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20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20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20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20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20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20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20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20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20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20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20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20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20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20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20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20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20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20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20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20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20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20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20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20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20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20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20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20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20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20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20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20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D28"/>
  <sheetViews>
    <sheetView showGridLines="0" topLeftCell="A7" workbookViewId="0">
      <selection activeCell="C5" sqref="C5:C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4" x14ac:dyDescent="0.25">
      <c r="B2" s="12" t="s">
        <v>16</v>
      </c>
      <c r="C2" t="s">
        <v>318</v>
      </c>
    </row>
    <row r="4" spans="2:4" x14ac:dyDescent="0.25">
      <c r="B4" s="12" t="s">
        <v>313</v>
      </c>
      <c r="C4" t="s">
        <v>315</v>
      </c>
    </row>
    <row r="5" spans="2:4" x14ac:dyDescent="0.25">
      <c r="B5" s="13" t="s">
        <v>23</v>
      </c>
      <c r="C5" s="17">
        <v>3630</v>
      </c>
    </row>
    <row r="6" spans="2:4" x14ac:dyDescent="0.25">
      <c r="B6" s="13" t="s">
        <v>19</v>
      </c>
      <c r="C6" s="17">
        <v>2249</v>
      </c>
    </row>
    <row r="7" spans="2:4" x14ac:dyDescent="0.25">
      <c r="B7" s="13" t="s">
        <v>314</v>
      </c>
      <c r="C7" s="17">
        <v>5879</v>
      </c>
    </row>
    <row r="11" spans="2:4" x14ac:dyDescent="0.25">
      <c r="B11" s="12" t="s">
        <v>16</v>
      </c>
      <c r="C11" t="s">
        <v>318</v>
      </c>
    </row>
    <row r="13" spans="2:4" x14ac:dyDescent="0.25">
      <c r="B13" s="12" t="s">
        <v>313</v>
      </c>
      <c r="C13" t="s">
        <v>317</v>
      </c>
    </row>
    <row r="14" spans="2:4" x14ac:dyDescent="0.25">
      <c r="B14" s="13" t="s">
        <v>22</v>
      </c>
      <c r="C14" s="16">
        <v>0</v>
      </c>
    </row>
    <row r="15" spans="2:4" x14ac:dyDescent="0.25">
      <c r="B15" s="13" t="s">
        <v>26</v>
      </c>
      <c r="C15" s="16">
        <v>0</v>
      </c>
    </row>
    <row r="16" spans="2:4" x14ac:dyDescent="0.25">
      <c r="B16" s="13" t="s">
        <v>18</v>
      </c>
      <c r="C16" s="16">
        <v>2340</v>
      </c>
      <c r="D16" s="17">
        <f>GETPIVOTDATA("EA Play Season Pass
Price",$B$13)</f>
        <v>2340</v>
      </c>
    </row>
    <row r="17" spans="2:4" x14ac:dyDescent="0.25">
      <c r="B17" s="13" t="s">
        <v>314</v>
      </c>
      <c r="C17" s="16">
        <v>2340</v>
      </c>
    </row>
    <row r="22" spans="2:4" x14ac:dyDescent="0.25">
      <c r="B22" s="12" t="s">
        <v>16</v>
      </c>
      <c r="C22" t="s">
        <v>318</v>
      </c>
    </row>
    <row r="24" spans="2:4" x14ac:dyDescent="0.25">
      <c r="B24" s="12" t="s">
        <v>313</v>
      </c>
      <c r="C24" t="s">
        <v>319</v>
      </c>
    </row>
    <row r="25" spans="2:4" x14ac:dyDescent="0.25">
      <c r="B25" s="13" t="s">
        <v>22</v>
      </c>
      <c r="C25" s="14">
        <v>0</v>
      </c>
    </row>
    <row r="26" spans="2:4" x14ac:dyDescent="0.25">
      <c r="B26" s="13" t="s">
        <v>26</v>
      </c>
      <c r="C26" s="14">
        <v>1380</v>
      </c>
    </row>
    <row r="27" spans="2:4" x14ac:dyDescent="0.25">
      <c r="B27" s="13" t="s">
        <v>18</v>
      </c>
      <c r="C27" s="14">
        <v>1560</v>
      </c>
      <c r="D27" s="17">
        <f>GETPIVOTDATA("Minecraft Season Pass Price",$B$24)</f>
        <v>2940</v>
      </c>
    </row>
    <row r="28" spans="2:4" x14ac:dyDescent="0.25">
      <c r="B28" s="13" t="s">
        <v>314</v>
      </c>
      <c r="C28" s="14">
        <v>2940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8"/>
  <sheetViews>
    <sheetView showGridLines="0" showRowColHeaders="0" tabSelected="1" zoomScaleNormal="100" workbookViewId="0">
      <selection activeCell="X25" sqref="X2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7109375" style="5" customWidth="1"/>
    <col min="2" max="2" width="5" style="7" customWidth="1"/>
    <col min="3" max="11" width="9.140625" style="7"/>
    <col min="12" max="12" width="6.5703125" style="7" customWidth="1"/>
    <col min="13" max="19" width="9.140625" style="7"/>
    <col min="20" max="20" width="12.42578125" style="7" customWidth="1"/>
    <col min="21" max="16384" width="9.140625" style="7"/>
  </cols>
  <sheetData>
    <row r="1" spans="1:20" customFormat="1" x14ac:dyDescent="0.25">
      <c r="A1" s="5"/>
    </row>
    <row r="2" spans="1:20" customFormat="1" ht="39" customHeight="1" thickBot="1" x14ac:dyDescent="0.5">
      <c r="A2" s="5"/>
      <c r="C2" s="22" t="s">
        <v>316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8"/>
      <c r="S2" s="18"/>
      <c r="T2" s="18"/>
    </row>
    <row r="3" spans="1:20" customFormat="1" ht="39" customHeight="1" thickTop="1" x14ac:dyDescent="0.25">
      <c r="A3" s="5"/>
    </row>
    <row r="4" spans="1:20" ht="8.25" customHeight="1" x14ac:dyDescent="0.25"/>
    <row r="5" spans="1:20" ht="2.25" customHeight="1" x14ac:dyDescent="0.25"/>
    <row r="6" spans="1:20" x14ac:dyDescent="0.25">
      <c r="C6" s="23" t="s">
        <v>320</v>
      </c>
    </row>
    <row r="8" spans="1:20" ht="33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Erick Calixto</cp:lastModifiedBy>
  <dcterms:created xsi:type="dcterms:W3CDTF">2024-12-19T13:13:10Z</dcterms:created>
  <dcterms:modified xsi:type="dcterms:W3CDTF">2026-02-15T23:06:51Z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